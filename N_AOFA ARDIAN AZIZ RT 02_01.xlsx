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Other computers\My Laptop\FILE PELAYANAN\N 2026\N OKTOBER 2026\"/>
    </mc:Choice>
  </mc:AlternateContent>
  <bookViews>
    <workbookView xWindow="-120" yWindow="-120" windowWidth="29040" windowHeight="15720" tabRatio="741"/>
  </bookViews>
  <sheets>
    <sheet name="ISIAN DATA" sheetId="9" r:id="rId1"/>
    <sheet name="RDS" sheetId="6" r:id="rId2"/>
    <sheet name="N2" sheetId="2" r:id="rId3"/>
    <sheet name="N1-Putra" sheetId="1" r:id="rId4"/>
    <sheet name="N1-Putri" sheetId="12" r:id="rId5"/>
    <sheet name="N4" sheetId="3" r:id="rId6"/>
    <sheet name="N5" sheetId="4" r:id="rId7"/>
    <sheet name="SKW" sheetId="10" r:id="rId8"/>
    <sheet name="Super WH" sheetId="8" r:id="rId9"/>
    <sheet name="Dispensasi" sheetId="11" r:id="rId10"/>
    <sheet name="Kendali" sheetId="7" r:id="rId11"/>
    <sheet name="RDS Operator" sheetId="16" r:id="rId12"/>
    <sheet name="Kamus" sheetId="14" r:id="rId13"/>
  </sheets>
  <definedNames>
    <definedName name="_xlnm.Print_Area" localSheetId="9">Dispensasi!$B$5:$E$64</definedName>
    <definedName name="_xlnm.Print_Area" localSheetId="0">'ISIAN DATA'!$B$2:$D$84</definedName>
    <definedName name="_xlnm.Print_Area" localSheetId="10">Kendali!$B$2:$E$49</definedName>
    <definedName name="_xlnm.Print_Area" localSheetId="3">'N1-Putra'!$C$2:$G$57</definedName>
    <definedName name="_xlnm.Print_Area" localSheetId="4">'N1-Putri'!$C$2:$G$57</definedName>
    <definedName name="_xlnm.Print_Area" localSheetId="2">'N2'!$B$2:$H$53</definedName>
    <definedName name="_xlnm.Print_Area" localSheetId="5">'N4'!$B$2:$D$41</definedName>
    <definedName name="_xlnm.Print_Area" localSheetId="6">'N5'!$B$4:$E$59</definedName>
    <definedName name="_xlnm.Print_Area" localSheetId="1">RDS!$C$2:$H$59</definedName>
    <definedName name="_xlnm.Print_Area" localSheetId="7">SKW!$B$2:$E$61</definedName>
    <definedName name="_xlnm.Print_Area" localSheetId="8">'Super WH'!$B$4:$C$42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2" i="9" l="1"/>
  <c r="D26" i="11"/>
  <c r="D25" i="11"/>
  <c r="I16" i="9"/>
  <c r="H60" i="9"/>
  <c r="D32" i="11" s="1"/>
  <c r="H32" i="9"/>
  <c r="G40" i="1" s="1"/>
  <c r="B20" i="11"/>
  <c r="H6" i="6"/>
  <c r="E7" i="7" s="1"/>
  <c r="I60" i="9"/>
  <c r="I32" i="9"/>
  <c r="I23" i="9"/>
  <c r="I51" i="9"/>
  <c r="I63" i="9"/>
  <c r="H63" i="9" s="1"/>
  <c r="I55" i="9"/>
  <c r="I54" i="9"/>
  <c r="I35" i="9"/>
  <c r="I3" i="9"/>
  <c r="K9" i="9" s="1"/>
  <c r="O9" i="9" s="1"/>
  <c r="I42" i="9"/>
  <c r="K5" i="9" s="1"/>
  <c r="O5" i="9" s="1"/>
  <c r="I14" i="9"/>
  <c r="K4" i="9" s="1"/>
  <c r="O4" i="9" s="1"/>
  <c r="H6" i="9"/>
  <c r="H73" i="9"/>
  <c r="K7" i="9" s="1"/>
  <c r="O7" i="9" s="1"/>
  <c r="E101" i="9"/>
  <c r="B72" i="9"/>
  <c r="B71" i="9"/>
  <c r="G53" i="2"/>
  <c r="G57" i="1"/>
  <c r="G60" i="9"/>
  <c r="J43" i="4" s="1"/>
  <c r="G51" i="9"/>
  <c r="I43" i="4" s="1"/>
  <c r="I44" i="4" s="1"/>
  <c r="G32" i="9"/>
  <c r="J32" i="4" s="1"/>
  <c r="J33" i="4" s="1"/>
  <c r="G23" i="9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12" i="14"/>
  <c r="I7" i="9"/>
  <c r="J5" i="9" s="1"/>
  <c r="F8" i="8"/>
  <c r="F10" i="8" s="1"/>
  <c r="B8" i="8" s="1"/>
  <c r="H5" i="9"/>
  <c r="E58" i="11" s="1"/>
  <c r="G13" i="9"/>
  <c r="G41" i="9"/>
  <c r="H70" i="9"/>
  <c r="B103" i="9" s="1"/>
  <c r="E103" i="9" s="1"/>
  <c r="J16" i="9"/>
  <c r="J44" i="9"/>
  <c r="J45" i="9" s="1"/>
  <c r="L7" i="4" s="1"/>
  <c r="H18" i="9"/>
  <c r="D14" i="3" s="1"/>
  <c r="H46" i="9"/>
  <c r="K46" i="4" s="1"/>
  <c r="H30" i="6"/>
  <c r="F59" i="6"/>
  <c r="C6" i="7" s="1"/>
  <c r="H13" i="6"/>
  <c r="H3" i="9"/>
  <c r="G53" i="12"/>
  <c r="G16" i="2"/>
  <c r="H11" i="9"/>
  <c r="F17" i="2" s="1"/>
  <c r="H61" i="9"/>
  <c r="G41" i="12" s="1"/>
  <c r="G40" i="12"/>
  <c r="H49" i="9"/>
  <c r="J58" i="9" s="1"/>
  <c r="I58" i="9" s="1"/>
  <c r="H48" i="9"/>
  <c r="L38" i="4" s="1"/>
  <c r="H47" i="9"/>
  <c r="G26" i="12" s="1"/>
  <c r="H43" i="9"/>
  <c r="G15" i="12" s="1"/>
  <c r="H42" i="9"/>
  <c r="G46" i="2" s="1"/>
  <c r="H33" i="9"/>
  <c r="G41" i="1" s="1"/>
  <c r="H27" i="9"/>
  <c r="G34" i="1" s="1"/>
  <c r="H26" i="9"/>
  <c r="G33" i="1" s="1"/>
  <c r="H24" i="9"/>
  <c r="G31" i="1" s="1"/>
  <c r="I65" i="9"/>
  <c r="I64" i="9"/>
  <c r="H64" i="9" s="1"/>
  <c r="I62" i="9"/>
  <c r="H62" i="9" s="1"/>
  <c r="J57" i="9"/>
  <c r="I57" i="9" s="1"/>
  <c r="I56" i="9"/>
  <c r="I53" i="9"/>
  <c r="I45" i="9"/>
  <c r="H45" i="9" s="1"/>
  <c r="F31" i="6" s="1"/>
  <c r="I44" i="9"/>
  <c r="H44" i="9" s="1"/>
  <c r="G17" i="12" s="1"/>
  <c r="G57" i="12"/>
  <c r="C8" i="12"/>
  <c r="G53" i="1"/>
  <c r="H21" i="9"/>
  <c r="G22" i="1" s="1"/>
  <c r="H19" i="9"/>
  <c r="G24" i="1" s="1"/>
  <c r="I36" i="9"/>
  <c r="H36" i="9" s="1"/>
  <c r="I37" i="9"/>
  <c r="H15" i="9"/>
  <c r="G15" i="1" s="1"/>
  <c r="I34" i="9"/>
  <c r="H34" i="9" s="1"/>
  <c r="F24" i="6" s="1"/>
  <c r="I17" i="9"/>
  <c r="H17" i="9" s="1"/>
  <c r="G20" i="1" s="1"/>
  <c r="I28" i="9"/>
  <c r="H28" i="9" s="1"/>
  <c r="H20" i="6" s="1"/>
  <c r="H23" i="9"/>
  <c r="G30" i="1" s="1"/>
  <c r="H14" i="9"/>
  <c r="G14" i="1" s="1"/>
  <c r="I25" i="9"/>
  <c r="H25" i="9" s="1"/>
  <c r="F20" i="6" s="1"/>
  <c r="H20" i="9"/>
  <c r="G21" i="1" s="1"/>
  <c r="H8" i="9"/>
  <c r="G52" i="1" s="1"/>
  <c r="I9" i="9"/>
  <c r="J9" i="9" s="1"/>
  <c r="H9" i="9" s="1"/>
  <c r="C7" i="7" s="1"/>
  <c r="C8" i="1"/>
  <c r="I7" i="4" a="1"/>
  <c r="D24" i="11" l="1"/>
  <c r="H16" i="9"/>
  <c r="D37" i="11" s="1"/>
  <c r="D36" i="11"/>
  <c r="I7" i="4"/>
  <c r="D44" i="11"/>
  <c r="D38" i="11"/>
  <c r="B102" i="9"/>
  <c r="H52" i="9"/>
  <c r="L36" i="6" s="1"/>
  <c r="L37" i="6" s="1"/>
  <c r="M37" i="6" s="1"/>
  <c r="J51" i="9"/>
  <c r="K43" i="4" s="1"/>
  <c r="H51" i="9"/>
  <c r="G30" i="12" s="1"/>
  <c r="H53" i="9"/>
  <c r="G32" i="12" s="1"/>
  <c r="H56" i="9"/>
  <c r="G35" i="12" s="1"/>
  <c r="H58" i="9"/>
  <c r="L18" i="4" s="1"/>
  <c r="H54" i="9"/>
  <c r="L14" i="4" s="1"/>
  <c r="H55" i="9"/>
  <c r="G34" i="12" s="1"/>
  <c r="H57" i="9"/>
  <c r="L17" i="4" s="1"/>
  <c r="D43" i="11"/>
  <c r="L20" i="4"/>
  <c r="J45" i="4" s="1"/>
  <c r="J44" i="4"/>
  <c r="K20" i="4"/>
  <c r="J34" i="4" s="1"/>
  <c r="L25" i="4"/>
  <c r="L24" i="4"/>
  <c r="L23" i="4"/>
  <c r="L22" i="4"/>
  <c r="L21" i="4"/>
  <c r="L11" i="4"/>
  <c r="K25" i="4"/>
  <c r="K23" i="4"/>
  <c r="K22" i="4"/>
  <c r="K21" i="4"/>
  <c r="I32" i="4"/>
  <c r="H35" i="9"/>
  <c r="K24" i="4" s="1"/>
  <c r="J47" i="9"/>
  <c r="E13" i="7" s="1"/>
  <c r="J19" i="9" a="1"/>
  <c r="J19" i="9" s="1"/>
  <c r="E10" i="7" s="1"/>
  <c r="D21" i="10"/>
  <c r="L12" i="6"/>
  <c r="M14" i="6" s="1"/>
  <c r="D17" i="10"/>
  <c r="J23" i="9"/>
  <c r="G22" i="12"/>
  <c r="G21" i="12"/>
  <c r="G20" i="12"/>
  <c r="G18" i="12"/>
  <c r="H65" i="9"/>
  <c r="G45" i="12" s="1"/>
  <c r="G42" i="12"/>
  <c r="G44" i="12"/>
  <c r="F14" i="6"/>
  <c r="F7" i="6"/>
  <c r="D8" i="9"/>
  <c r="D9" i="9"/>
  <c r="G37" i="14" s="1"/>
  <c r="J17" i="9"/>
  <c r="K7" i="4" s="1"/>
  <c r="C72" i="9"/>
  <c r="H72" i="9" s="1"/>
  <c r="F13" i="8" s="1"/>
  <c r="B73" i="9"/>
  <c r="C71" i="9"/>
  <c r="H76" i="9" s="1"/>
  <c r="D25" i="3"/>
  <c r="C12" i="16"/>
  <c r="C15" i="16"/>
  <c r="C34" i="16"/>
  <c r="C10" i="8"/>
  <c r="C32" i="16"/>
  <c r="L35" i="4"/>
  <c r="C38" i="16"/>
  <c r="C21" i="16"/>
  <c r="C37" i="16"/>
  <c r="C35" i="16"/>
  <c r="C20" i="16"/>
  <c r="C36" i="16"/>
  <c r="C18" i="16"/>
  <c r="C47" i="16"/>
  <c r="C16" i="16"/>
  <c r="C13" i="16"/>
  <c r="C14" i="16"/>
  <c r="C8" i="16"/>
  <c r="C5" i="16"/>
  <c r="C54" i="16"/>
  <c r="C33" i="16"/>
  <c r="C27" i="16"/>
  <c r="C25" i="16"/>
  <c r="C26" i="16"/>
  <c r="C19" i="16"/>
  <c r="E15" i="10"/>
  <c r="C11" i="16"/>
  <c r="L44" i="4"/>
  <c r="C10" i="16"/>
  <c r="C7" i="16"/>
  <c r="C49" i="16"/>
  <c r="C48" i="16"/>
  <c r="K48" i="4"/>
  <c r="D23" i="10"/>
  <c r="K49" i="4"/>
  <c r="D24" i="10"/>
  <c r="D23" i="3"/>
  <c r="L31" i="4"/>
  <c r="K50" i="4"/>
  <c r="B7" i="10"/>
  <c r="D25" i="10"/>
  <c r="D60" i="10"/>
  <c r="D26" i="10"/>
  <c r="D27" i="3"/>
  <c r="D28" i="3"/>
  <c r="K37" i="4"/>
  <c r="E22" i="10"/>
  <c r="L33" i="4"/>
  <c r="E6" i="7"/>
  <c r="D29" i="3"/>
  <c r="E10" i="11"/>
  <c r="L39" i="4"/>
  <c r="B8" i="11"/>
  <c r="K44" i="4"/>
  <c r="D18" i="10"/>
  <c r="D19" i="10"/>
  <c r="L37" i="4"/>
  <c r="H10" i="9"/>
  <c r="B28" i="10" s="1"/>
  <c r="E53" i="4"/>
  <c r="D35" i="3"/>
  <c r="D55" i="10"/>
  <c r="G14" i="9"/>
  <c r="H13" i="9" s="1"/>
  <c r="H26" i="6" s="1"/>
  <c r="B23" i="8"/>
  <c r="G42" i="9"/>
  <c r="H41" i="9" s="1"/>
  <c r="H43" i="6" s="1"/>
  <c r="L42" i="4"/>
  <c r="K31" i="4"/>
  <c r="D14" i="10"/>
  <c r="C8" i="7"/>
  <c r="C102" i="9"/>
  <c r="C107" i="9"/>
  <c r="C106" i="9"/>
  <c r="C105" i="9"/>
  <c r="C104" i="9"/>
  <c r="C103" i="9"/>
  <c r="B114" i="9"/>
  <c r="E114" i="9" s="1"/>
  <c r="B113" i="9"/>
  <c r="E113" i="9" s="1"/>
  <c r="B109" i="9"/>
  <c r="E109" i="9" s="1"/>
  <c r="B112" i="9"/>
  <c r="E112" i="9" s="1"/>
  <c r="B111" i="9"/>
  <c r="E111" i="9" s="1"/>
  <c r="B122" i="9"/>
  <c r="E122" i="9" s="1"/>
  <c r="B110" i="9"/>
  <c r="E110" i="9" s="1"/>
  <c r="B121" i="9"/>
  <c r="E121" i="9" s="1"/>
  <c r="B120" i="9"/>
  <c r="E120" i="9" s="1"/>
  <c r="B108" i="9"/>
  <c r="E108" i="9" s="1"/>
  <c r="B119" i="9"/>
  <c r="E119" i="9" s="1"/>
  <c r="B107" i="9"/>
  <c r="B118" i="9"/>
  <c r="E118" i="9" s="1"/>
  <c r="B106" i="9"/>
  <c r="E106" i="9" s="1"/>
  <c r="B117" i="9"/>
  <c r="E117" i="9" s="1"/>
  <c r="B105" i="9"/>
  <c r="E105" i="9" s="1"/>
  <c r="B116" i="9"/>
  <c r="E116" i="9" s="1"/>
  <c r="B104" i="9"/>
  <c r="B115" i="9"/>
  <c r="E115" i="9" s="1"/>
  <c r="B16" i="7"/>
  <c r="L46" i="4"/>
  <c r="B10" i="7"/>
  <c r="K35" i="4"/>
  <c r="D10" i="3"/>
  <c r="B41" i="3" s="1"/>
  <c r="D16" i="3"/>
  <c r="B13" i="7"/>
  <c r="K38" i="4"/>
  <c r="L48" i="4"/>
  <c r="D18" i="3"/>
  <c r="D21" i="3"/>
  <c r="D41" i="3" s="1"/>
  <c r="K42" i="4"/>
  <c r="D12" i="3"/>
  <c r="K33" i="4"/>
  <c r="L50" i="4"/>
  <c r="K39" i="4"/>
  <c r="L49" i="4"/>
  <c r="D17" i="3"/>
  <c r="L45" i="4"/>
  <c r="L34" i="4"/>
  <c r="D24" i="3"/>
  <c r="K45" i="4"/>
  <c r="G43" i="12"/>
  <c r="F23" i="6"/>
  <c r="L29" i="6"/>
  <c r="L30" i="6" s="1"/>
  <c r="M30" i="6" s="1"/>
  <c r="F32" i="6"/>
  <c r="F33" i="6"/>
  <c r="L23" i="6"/>
  <c r="L24" i="6" s="1"/>
  <c r="M24" i="6" s="1"/>
  <c r="F11" i="6"/>
  <c r="F19" i="6"/>
  <c r="F28" i="6"/>
  <c r="G59" i="6" s="1"/>
  <c r="F40" i="6"/>
  <c r="G54" i="6"/>
  <c r="L19" i="6"/>
  <c r="L20" i="6" s="1"/>
  <c r="M20" i="6" s="1"/>
  <c r="F29" i="6"/>
  <c r="L40" i="6"/>
  <c r="L41" i="6" s="1"/>
  <c r="M41" i="6" s="1"/>
  <c r="F41" i="6"/>
  <c r="F15" i="6"/>
  <c r="G14" i="12"/>
  <c r="I47" i="9"/>
  <c r="H37" i="9"/>
  <c r="K26" i="4" s="1"/>
  <c r="F14" i="2"/>
  <c r="H5" i="2"/>
  <c r="B40" i="2" s="1"/>
  <c r="G32" i="1"/>
  <c r="G42" i="1"/>
  <c r="G35" i="1"/>
  <c r="G44" i="1"/>
  <c r="G52" i="12"/>
  <c r="J30" i="9"/>
  <c r="I30" i="9" s="1"/>
  <c r="H30" i="9" s="1"/>
  <c r="I19" i="9"/>
  <c r="G25" i="1" s="1"/>
  <c r="J29" i="9"/>
  <c r="F6" i="6"/>
  <c r="F16" i="2"/>
  <c r="J7" i="9"/>
  <c r="J8" i="9" s="1"/>
  <c r="H7" i="9" s="1"/>
  <c r="I73" i="9" a="1"/>
  <c r="I6" i="4" a="1"/>
  <c r="I73" i="9" l="1"/>
  <c r="K8" i="9" s="1"/>
  <c r="O8" i="9" s="1"/>
  <c r="L16" i="4"/>
  <c r="L12" i="4"/>
  <c r="G17" i="1"/>
  <c r="F12" i="6"/>
  <c r="K34" i="4"/>
  <c r="D13" i="3"/>
  <c r="D16" i="10"/>
  <c r="I6" i="4"/>
  <c r="J5" i="4" s="1"/>
  <c r="K5" i="4" s="1"/>
  <c r="E102" i="9"/>
  <c r="E107" i="9"/>
  <c r="E104" i="9"/>
  <c r="G31" i="12"/>
  <c r="D31" i="11"/>
  <c r="G33" i="12"/>
  <c r="C43" i="16"/>
  <c r="F15" i="2"/>
  <c r="C11" i="8"/>
  <c r="F36" i="6"/>
  <c r="C40" i="16"/>
  <c r="L10" i="4"/>
  <c r="I45" i="4" s="1"/>
  <c r="H37" i="6"/>
  <c r="C41" i="16"/>
  <c r="L15" i="4"/>
  <c r="H77" i="9"/>
  <c r="H75" i="9"/>
  <c r="H82" i="9"/>
  <c r="H71" i="9"/>
  <c r="D39" i="10" s="1"/>
  <c r="H83" i="9"/>
  <c r="I33" i="4"/>
  <c r="L26" i="4"/>
  <c r="L13" i="4"/>
  <c r="K10" i="4"/>
  <c r="I34" i="4" s="1"/>
  <c r="K15" i="4"/>
  <c r="K16" i="4"/>
  <c r="K18" i="4"/>
  <c r="K14" i="4"/>
  <c r="K12" i="4"/>
  <c r="K13" i="4"/>
  <c r="K11" i="4"/>
  <c r="G43" i="1"/>
  <c r="M42" i="6"/>
  <c r="M40" i="6"/>
  <c r="M38" i="6"/>
  <c r="M36" i="6"/>
  <c r="M25" i="6"/>
  <c r="M23" i="6"/>
  <c r="M21" i="6"/>
  <c r="M19" i="6"/>
  <c r="M31" i="6"/>
  <c r="M29" i="6"/>
  <c r="M12" i="6"/>
  <c r="L13" i="6"/>
  <c r="M13" i="6" s="1"/>
  <c r="L32" i="4"/>
  <c r="D22" i="10"/>
  <c r="D22" i="3"/>
  <c r="D14" i="7"/>
  <c r="D11" i="3"/>
  <c r="D11" i="7"/>
  <c r="K32" i="4"/>
  <c r="D15" i="10"/>
  <c r="L43" i="4"/>
  <c r="F37" i="6"/>
  <c r="H41" i="6"/>
  <c r="C50" i="16"/>
  <c r="C42" i="16"/>
  <c r="C23" i="16"/>
  <c r="G38" i="14"/>
  <c r="I10" i="9"/>
  <c r="D48" i="11" s="1"/>
  <c r="C28" i="16"/>
  <c r="B10" i="10"/>
  <c r="C6" i="16"/>
  <c r="C44" i="16"/>
  <c r="C45" i="16"/>
  <c r="G35" i="14"/>
  <c r="G36" i="14"/>
  <c r="G40" i="14"/>
  <c r="G34" i="14"/>
  <c r="G39" i="14"/>
  <c r="C10" i="11"/>
  <c r="F15" i="8"/>
  <c r="G20" i="8"/>
  <c r="G19" i="8"/>
  <c r="D50" i="10"/>
  <c r="F51" i="6"/>
  <c r="I67" i="9"/>
  <c r="H67" i="9" s="1"/>
  <c r="L28" i="4" s="1"/>
  <c r="I66" i="9"/>
  <c r="H66" i="9" s="1"/>
  <c r="L27" i="4" s="1"/>
  <c r="G45" i="1"/>
  <c r="H24" i="6"/>
  <c r="F38" i="6"/>
  <c r="G37" i="12"/>
  <c r="G36" i="12"/>
  <c r="C11" i="1"/>
  <c r="C11" i="12"/>
  <c r="I39" i="9"/>
  <c r="H39" i="9" s="1"/>
  <c r="K28" i="4" s="1"/>
  <c r="I29" i="9"/>
  <c r="H29" i="9" s="1"/>
  <c r="K17" i="4" s="1"/>
  <c r="K6" i="4" l="1"/>
  <c r="K6" i="9"/>
  <c r="I75" i="9"/>
  <c r="C18" i="7" s="1"/>
  <c r="I71" i="9"/>
  <c r="C17" i="7" s="1"/>
  <c r="L42" i="6"/>
  <c r="H40" i="6" s="1"/>
  <c r="L25" i="6"/>
  <c r="H23" i="6" s="1"/>
  <c r="L38" i="6"/>
  <c r="H36" i="6" s="1"/>
  <c r="L21" i="6"/>
  <c r="H19" i="6" s="1"/>
  <c r="L31" i="6"/>
  <c r="H29" i="6" s="1"/>
  <c r="L14" i="6"/>
  <c r="H12" i="6" s="1"/>
  <c r="D23" i="11"/>
  <c r="D35" i="11"/>
  <c r="D28" i="11"/>
  <c r="C22" i="16"/>
  <c r="D29" i="11"/>
  <c r="D30" i="11"/>
  <c r="D47" i="11"/>
  <c r="D40" i="11"/>
  <c r="D41" i="11"/>
  <c r="D42" i="11"/>
  <c r="C30" i="16"/>
  <c r="F42" i="6"/>
  <c r="C51" i="16"/>
  <c r="G47" i="12"/>
  <c r="C52" i="16"/>
  <c r="G21" i="8"/>
  <c r="B20" i="8" s="1"/>
  <c r="G46" i="12"/>
  <c r="F21" i="6"/>
  <c r="F16" i="6"/>
  <c r="G47" i="1"/>
  <c r="G37" i="1"/>
  <c r="O6" i="9" a="1"/>
  <c r="O6" i="9" l="1"/>
  <c r="C55" i="16"/>
  <c r="G2" i="4"/>
  <c r="E15" i="4" s="1"/>
  <c r="C12" i="8"/>
  <c r="C13" i="8"/>
  <c r="C17" i="8"/>
  <c r="C15" i="8"/>
  <c r="C16" i="8"/>
  <c r="C35" i="8"/>
  <c r="C25" i="8"/>
  <c r="B22" i="8"/>
  <c r="C27" i="8" a="1"/>
  <c r="C27" i="8" s="1"/>
  <c r="C14" i="8"/>
  <c r="C26" i="8"/>
  <c r="G36" i="1"/>
  <c r="I38" i="9"/>
  <c r="H38" i="9" s="1"/>
  <c r="E54" i="4" l="1"/>
  <c r="E58" i="4"/>
  <c r="C54" i="4"/>
  <c r="C58" i="4"/>
  <c r="E11" i="4"/>
  <c r="E44" i="4"/>
  <c r="C29" i="16"/>
  <c r="K27" i="4"/>
  <c r="E27" i="4" s="1"/>
  <c r="H42" i="4"/>
  <c r="H43" i="4" s="1"/>
  <c r="C43" i="4" s="1"/>
  <c r="E10" i="4"/>
  <c r="E42" i="4"/>
  <c r="H31" i="4"/>
  <c r="H32" i="4" s="1"/>
  <c r="C32" i="4" s="1"/>
  <c r="F25" i="6"/>
  <c r="E20" i="4"/>
  <c r="E24" i="4"/>
  <c r="E14" i="4"/>
  <c r="E28" i="4"/>
  <c r="E38" i="4"/>
  <c r="E43" i="4"/>
  <c r="E18" i="4"/>
  <c r="E26" i="4"/>
  <c r="E13" i="4"/>
  <c r="E31" i="4"/>
  <c r="E25" i="4"/>
  <c r="E50" i="4"/>
  <c r="E39" i="4"/>
  <c r="E17" i="4"/>
  <c r="E48" i="4"/>
  <c r="E32" i="4"/>
  <c r="E12" i="4"/>
  <c r="E21" i="4"/>
  <c r="E33" i="4"/>
  <c r="E45" i="4"/>
  <c r="E35" i="4"/>
  <c r="E34" i="4"/>
  <c r="E22" i="4"/>
  <c r="E49" i="4"/>
  <c r="E36" i="4"/>
  <c r="E47" i="4"/>
  <c r="E23" i="4"/>
  <c r="E16" i="4"/>
  <c r="E37" i="4"/>
  <c r="E46" i="4"/>
  <c r="G46" i="1"/>
  <c r="H81" i="9" l="1"/>
  <c r="H78" i="9"/>
  <c r="D37" i="10"/>
  <c r="D38" i="10"/>
  <c r="F47" i="6"/>
  <c r="H79" i="9"/>
  <c r="D35" i="10" s="1"/>
  <c r="H80" i="9"/>
  <c r="C60" i="16" l="1"/>
  <c r="D36" i="10"/>
  <c r="C59" i="16"/>
  <c r="D34" i="10"/>
  <c r="C58" i="16"/>
  <c r="D33" i="10"/>
  <c r="C57" i="16"/>
  <c r="D32" i="10"/>
  <c r="C62" i="16"/>
  <c r="D31" i="10"/>
  <c r="C56" i="16"/>
  <c r="C61" i="16"/>
  <c r="F46" i="6"/>
  <c r="H45" i="6"/>
  <c r="H47" i="6"/>
  <c r="L45" i="6"/>
  <c r="L46" i="6" s="1"/>
  <c r="M46" i="6" s="1"/>
  <c r="F45" i="6"/>
  <c r="F48" i="6"/>
  <c r="M47" i="6" l="1"/>
  <c r="M45" i="6"/>
  <c r="L47" i="6" l="1"/>
  <c r="H46" i="6" s="1"/>
  <c r="D27" i="8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<sst xmlns="http://schemas.openxmlformats.org/spreadsheetml/2006/main" count="965" uniqueCount="479">
  <si>
    <t>PEMERINTAH KABUPATEN PEMALANG</t>
  </si>
  <si>
    <t>KECAMATAN WATUKUMPUL</t>
  </si>
  <si>
    <t>PENGANTAR NIKAH</t>
  </si>
  <si>
    <t>Yang bertanda tangan di bawah ini menjelaskan dengan sesungguhnya bahwa:</t>
  </si>
  <si>
    <t>1.</t>
  </si>
  <si>
    <t>Nama</t>
  </si>
  <si>
    <t>2.</t>
  </si>
  <si>
    <t>Nomor Induk Kependudukan (NIK)</t>
  </si>
  <si>
    <t>Jenis Kelamin</t>
  </si>
  <si>
    <t>Tempat dan tanggal lahir</t>
  </si>
  <si>
    <t>Kewarganegaraan</t>
  </si>
  <si>
    <t>Agama</t>
  </si>
  <si>
    <t>Pekerjaan</t>
  </si>
  <si>
    <t>Alamat</t>
  </si>
  <si>
    <t>Status pernikahan</t>
  </si>
  <si>
    <t>a.</t>
  </si>
  <si>
    <t>Laki-laki; Jejaka, Duda</t>
  </si>
  <si>
    <t>atau beristri ke …....</t>
  </si>
  <si>
    <t>b.</t>
  </si>
  <si>
    <t>Peremuan: Perawan, Janda</t>
  </si>
  <si>
    <t>Adalah benar-benar anak dari pernikahan seorang pria:</t>
  </si>
  <si>
    <t>Nama lengkap dan alias</t>
  </si>
  <si>
    <t>Dengan seorang wanita :</t>
  </si>
  <si>
    <t>Kepala Desa,</t>
  </si>
  <si>
    <t xml:space="preserve">: </t>
  </si>
  <si>
    <t>:</t>
  </si>
  <si>
    <t>Model N1</t>
  </si>
  <si>
    <t>Penyesuaian Lampiran VI</t>
  </si>
  <si>
    <t>Keputusan Dirjen Bimas Islam Nomor 473 Tahun 2020</t>
  </si>
  <si>
    <t>Perihal</t>
  </si>
  <si>
    <t>Kepada Yth.</t>
  </si>
  <si>
    <t>Kepala KUA Watukumpul</t>
  </si>
  <si>
    <t>Assalamu'alaikum Warahmatullahi Wabarakatuh</t>
  </si>
  <si>
    <t>Dengan hormat, kami mengajukan permohonan kehendak pernikahan untuk atas nama:</t>
  </si>
  <si>
    <t>Calon suami</t>
  </si>
  <si>
    <t>Calon istri</t>
  </si>
  <si>
    <t>Pada hari</t>
  </si>
  <si>
    <t>Bertempat di</t>
  </si>
  <si>
    <t>Bersama ini kami sampaikan surat-surat yang diperlukan untuk diperiksa sebagai berikut :</t>
  </si>
  <si>
    <t>Surat pengantar pernikahan dari Desa/ Kelurahan calon pengantin Putra</t>
  </si>
  <si>
    <t>Surat Pengantar Pernikahan dari Desa/ Kelurahan Calon Pengantin Putri</t>
  </si>
  <si>
    <t>(Diurutkan dari N1, N5, AC Asli, Berkas Khusus TNI/Polri dan Rekomendasi)</t>
  </si>
  <si>
    <t>Surat Persetujuan Mempelai (Model N4)</t>
  </si>
  <si>
    <t>Asli Putusan Dispensasi Umur dari Pengadilan Agama</t>
  </si>
  <si>
    <t>Pasfoto ukuran 2x3 = 2 lembar dan 4x6= 1 lembar berlatar belakang biru</t>
  </si>
  <si>
    <t>A. Berkas Utama :</t>
  </si>
  <si>
    <t>B. Berkas Operator</t>
  </si>
  <si>
    <t>Rekam Data Sementara Calon Pengantin</t>
  </si>
  <si>
    <t>Surat Keterangan Wali dan Pernyataannya</t>
  </si>
  <si>
    <t>Fotocopy Kartu Keluarga Catin Putra, Catin Putri, Wali</t>
  </si>
  <si>
    <t>Fotocopy KTP, Catin Putra, Catin Putri, Wali</t>
  </si>
  <si>
    <t>Fotocopy Akte Kelahiran dan Ijazah</t>
  </si>
  <si>
    <t>Yang menerima,</t>
  </si>
  <si>
    <t>Kepala KUA/ Penghulu</t>
  </si>
  <si>
    <t>Wassalamualaikum Warahmatullahi Wabarakatuh</t>
  </si>
  <si>
    <t>…..............................</t>
  </si>
  <si>
    <t>Petugas Pengantar,</t>
  </si>
  <si>
    <t>Penyesuaian Lampiran VIII</t>
  </si>
  <si>
    <t>Model  N4</t>
  </si>
  <si>
    <t>PERSETUJUAN CALON PENGANTIN</t>
  </si>
  <si>
    <t>Yang bertanda tangan di bawah ini :</t>
  </si>
  <si>
    <t>A.</t>
  </si>
  <si>
    <t>Calon Suami:</t>
  </si>
  <si>
    <t>Bin</t>
  </si>
  <si>
    <t>B.</t>
  </si>
  <si>
    <t>Calon Istri:</t>
  </si>
  <si>
    <t>Binti</t>
  </si>
  <si>
    <t>Demikian surat persetujuan ini dibuat untuk digunakan seperlunya.</t>
  </si>
  <si>
    <t>Calon Suami</t>
  </si>
  <si>
    <t>Calon Istri</t>
  </si>
  <si>
    <t>Model  N5</t>
  </si>
  <si>
    <t>SURAT IZIN ORANG TUA/ PENGAMPU</t>
  </si>
  <si>
    <t>adalah ayah dan ibu kandung/ wali/ pengampu dari :</t>
  </si>
  <si>
    <t>memberikan izin kepada yang bersangkutan untuk melakukan pernikahan dengan :</t>
  </si>
  <si>
    <t>PENDAFTARAN CALON PASANGAN PENGANTIN</t>
  </si>
  <si>
    <t>PELAKSANAAN</t>
  </si>
  <si>
    <t>Hari, Tanggal</t>
  </si>
  <si>
    <t>Lokasi Akad Nikah</t>
  </si>
  <si>
    <t>CALON SUAMI</t>
  </si>
  <si>
    <t>Tempat, tanggal lahir</t>
  </si>
  <si>
    <t>Status</t>
  </si>
  <si>
    <t>Tempat tinggal</t>
  </si>
  <si>
    <t>3.</t>
  </si>
  <si>
    <t>C.</t>
  </si>
  <si>
    <t>CALON ISTRI</t>
  </si>
  <si>
    <t>D.</t>
  </si>
  <si>
    <t>Nama Wali</t>
  </si>
  <si>
    <t>Hubungan</t>
  </si>
  <si>
    <t>E.</t>
  </si>
  <si>
    <t>Sebab</t>
  </si>
  <si>
    <t>NIK</t>
  </si>
  <si>
    <t>Tanggal</t>
  </si>
  <si>
    <t>LEMBAR KENDALI IJAB QABUL</t>
  </si>
  <si>
    <t>SAKSI PERTAMA</t>
  </si>
  <si>
    <t xml:space="preserve">Catatan lain </t>
  </si>
  <si>
    <t>UANG / ALAT SHALAT/ PERHIASAN EMAS / LOGAM MULIA</t>
  </si>
  <si>
    <t>Hari/ tanggal</t>
  </si>
  <si>
    <t xml:space="preserve"> </t>
  </si>
  <si>
    <t>TANGGAL SURAT</t>
  </si>
  <si>
    <t>TANGGAL PELAKSANAAN</t>
  </si>
  <si>
    <t>TEMPAT AKAD NIKAH</t>
  </si>
  <si>
    <t>BIN</t>
  </si>
  <si>
    <t>Tempat Tanggal Lahir</t>
  </si>
  <si>
    <t>Saudara Sekandung</t>
  </si>
  <si>
    <t>SURAT KETERANGAN WALI</t>
  </si>
  <si>
    <t>Nama Calon Suami</t>
  </si>
  <si>
    <t>Kewarganegaraan/Agama</t>
  </si>
  <si>
    <t>Nama Calon Istri</t>
  </si>
  <si>
    <t xml:space="preserve">Hubungan </t>
  </si>
  <si>
    <t>Ayah Kandung</t>
  </si>
  <si>
    <t>Paman Kandung</t>
  </si>
  <si>
    <t>Paman Ayah Seayah</t>
  </si>
  <si>
    <t>Kakek</t>
  </si>
  <si>
    <t>Paman Seayah</t>
  </si>
  <si>
    <t>Anak Paman Ayah Kandung</t>
  </si>
  <si>
    <t xml:space="preserve">Buyut </t>
  </si>
  <si>
    <t>Anak Paman Kandung</t>
  </si>
  <si>
    <t>Anak Paman Ayah Seayah</t>
  </si>
  <si>
    <t>Anak Paman Seayah</t>
  </si>
  <si>
    <t>Paman Kakek Kandung</t>
  </si>
  <si>
    <t>Saudara Seayah</t>
  </si>
  <si>
    <t>Cucu Paman Kandung</t>
  </si>
  <si>
    <t xml:space="preserve">Paman Kakek Seayah </t>
  </si>
  <si>
    <t>Anak Saudara Sekandung</t>
  </si>
  <si>
    <t>Cucu Paman Seayah</t>
  </si>
  <si>
    <t>Anak Paman Kakek Kandung</t>
  </si>
  <si>
    <t>Anak Saudara Seayah</t>
  </si>
  <si>
    <t>Paman Ayah Kandung</t>
  </si>
  <si>
    <t>Anak Paman Kakek Seayah</t>
  </si>
  <si>
    <t>Nomor</t>
  </si>
  <si>
    <t>Kepala Desa</t>
  </si>
  <si>
    <t>Nama Kepala Desa</t>
  </si>
  <si>
    <t>Saksi II</t>
  </si>
  <si>
    <t>Nama saksi</t>
  </si>
  <si>
    <t>4.</t>
  </si>
  <si>
    <t>5.</t>
  </si>
  <si>
    <t>6.</t>
  </si>
  <si>
    <t>7.</t>
  </si>
  <si>
    <t>8.</t>
  </si>
  <si>
    <t>9.</t>
  </si>
  <si>
    <t>INPUT DATA NIKAH</t>
  </si>
  <si>
    <t>Nama Desa</t>
  </si>
  <si>
    <t>Definitif</t>
  </si>
  <si>
    <t>Penjabat</t>
  </si>
  <si>
    <t>CALON PENGANTIN LAKI-LAKI</t>
  </si>
  <si>
    <t>JEJAKA (BELUM KAWIN)</t>
  </si>
  <si>
    <t>DUDA CERAI HIDUP</t>
  </si>
  <si>
    <t>DUDA CERAI MATI</t>
  </si>
  <si>
    <t>BERISTRI</t>
  </si>
  <si>
    <t>CALON PENGANTIN PEREMPUAN</t>
  </si>
  <si>
    <t>Hidup</t>
  </si>
  <si>
    <t>Meninggal</t>
  </si>
  <si>
    <t>Miruda</t>
  </si>
  <si>
    <t>Alamat Calon</t>
  </si>
  <si>
    <t>Alamat Sendiri</t>
  </si>
  <si>
    <t>Alamat Suami</t>
  </si>
  <si>
    <t>ISLAM</t>
  </si>
  <si>
    <t>KRISTEN</t>
  </si>
  <si>
    <t>KATOLIK</t>
  </si>
  <si>
    <t>HINDU</t>
  </si>
  <si>
    <t>BUDHA</t>
  </si>
  <si>
    <t>KONGHUCU</t>
  </si>
  <si>
    <t>KEPERCAYAAN LAINNYA</t>
  </si>
  <si>
    <t>INDONESIA</t>
  </si>
  <si>
    <t>WNA</t>
  </si>
  <si>
    <t>LAKI-LAKI</t>
  </si>
  <si>
    <t>Sepi Ayah</t>
  </si>
  <si>
    <t>BURUH HARIAN LEPAS</t>
  </si>
  <si>
    <t>WIRASWASTA</t>
  </si>
  <si>
    <t>PEDAGANG</t>
  </si>
  <si>
    <t>PETANI</t>
  </si>
  <si>
    <t>TNI</t>
  </si>
  <si>
    <t>POLRI</t>
  </si>
  <si>
    <t>PNS</t>
  </si>
  <si>
    <t>Lainnya</t>
  </si>
  <si>
    <t>MENGURUS RUMAH TANGGA</t>
  </si>
  <si>
    <t>Kec. Watukumpul Kab. Pemalang</t>
  </si>
  <si>
    <t>1. Nama Lengkap</t>
  </si>
  <si>
    <t>2. NIK</t>
  </si>
  <si>
    <t>3. Tempat     |Tanggal Lahir</t>
  </si>
  <si>
    <t>4. Pekerjaan</t>
  </si>
  <si>
    <t>4. Kewarganegaraan</t>
  </si>
  <si>
    <t>5. Agama</t>
  </si>
  <si>
    <t>6. Pekerjaan</t>
  </si>
  <si>
    <t>7. Alamat</t>
  </si>
  <si>
    <t>I (KESATU)</t>
  </si>
  <si>
    <t>II (KEDUA)</t>
  </si>
  <si>
    <t>III (KETIGA)</t>
  </si>
  <si>
    <t xml:space="preserve">          Demikian surat pengantar ini dibuat dengan mengingat sumpah jabatan dan untuk dipergunakan sebagaimana mestinya</t>
  </si>
  <si>
    <t>PEREMPUAN</t>
  </si>
  <si>
    <t>PERAWAN (BELUM KAWIN)</t>
  </si>
  <si>
    <t>JANDA CERAI HIDUP</t>
  </si>
  <si>
    <t>JANDA CERAI MATI</t>
  </si>
  <si>
    <t>PEMALANG</t>
  </si>
  <si>
    <t>di WATUKUMPUL</t>
  </si>
  <si>
    <t>LUAR KANTOR</t>
  </si>
  <si>
    <t>KANTOR</t>
  </si>
  <si>
    <t>Demikian permohonan ini kami sampaikan, kiranya dapat diperiksa, dihadiri dan dicatat sesuai dengan ketentuan peraturan perundang-undangan.</t>
  </si>
  <si>
    <r>
      <t>:</t>
    </r>
    <r>
      <rPr>
        <b/>
        <sz val="11.5"/>
        <color theme="1"/>
        <rFont val="Arial"/>
        <family val="2"/>
      </rPr>
      <t xml:space="preserve"> Permohonan Kehendak Nikah</t>
    </r>
  </si>
  <si>
    <t xml:space="preserve"> WIB</t>
  </si>
  <si>
    <t>WAKTU</t>
  </si>
  <si>
    <t>JAM : 06:30</t>
  </si>
  <si>
    <t>JAM : 07:00</t>
  </si>
  <si>
    <t>JAM : 07:30</t>
  </si>
  <si>
    <t>JAM : 06:00</t>
  </si>
  <si>
    <t>JAM : 08:00</t>
  </si>
  <si>
    <t>JAM : 08:30</t>
  </si>
  <si>
    <t>JAM : 09:00</t>
  </si>
  <si>
    <t>JAM : 09:30</t>
  </si>
  <si>
    <t>JAM : 10:00</t>
  </si>
  <si>
    <t>JAM : 10:30</t>
  </si>
  <si>
    <t>JAM : 11:00</t>
  </si>
  <si>
    <t>JAM : 11:30</t>
  </si>
  <si>
    <t>JAM : 12:00</t>
  </si>
  <si>
    <t>JAM : 12:30</t>
  </si>
  <si>
    <t>JAM : 13:00</t>
  </si>
  <si>
    <t>JAM : 13:30</t>
  </si>
  <si>
    <t>JAM : 14:00</t>
  </si>
  <si>
    <t>JAM : 14:30</t>
  </si>
  <si>
    <t>JAM : 15:00</t>
  </si>
  <si>
    <t>JAM : 15:30</t>
  </si>
  <si>
    <t>JAM : 16:00</t>
  </si>
  <si>
    <t>JAM : 16:30</t>
  </si>
  <si>
    <t>JAM : 17:00</t>
  </si>
  <si>
    <t>1. Nama Wali Nikah</t>
  </si>
  <si>
    <t>WALI HAKIM</t>
  </si>
  <si>
    <t>WALI NASAB</t>
  </si>
  <si>
    <t>KAKEK KANDUNG</t>
  </si>
  <si>
    <t>AYAH KAKEK KANDUNG</t>
  </si>
  <si>
    <t>SAUDARA SEKANDUNG</t>
  </si>
  <si>
    <t>SAUDARA SEAYAH</t>
  </si>
  <si>
    <t>ANAK SAUDARA SEKANDUNG</t>
  </si>
  <si>
    <t>ANAK SAUDARA SEAYAH</t>
  </si>
  <si>
    <t>PAMAN KANDUNG</t>
  </si>
  <si>
    <t>PAMAN SEAYAH</t>
  </si>
  <si>
    <t>Pemohon,</t>
  </si>
  <si>
    <t>MIRUDA (TIDAK DIKETAHUI KEBERADAANNYA)</t>
  </si>
  <si>
    <t>SEPI WALI</t>
  </si>
  <si>
    <t>WALI ADHAL (PUTUSAN PENGADILAN AGAMA)</t>
  </si>
  <si>
    <t>HABIS BARIS WALI</t>
  </si>
  <si>
    <t>WALI DICABUT HAKNYA</t>
  </si>
  <si>
    <t>Nomor HP</t>
  </si>
  <si>
    <t>Pendidikan</t>
  </si>
  <si>
    <t>Anak ke</t>
  </si>
  <si>
    <t>Nama Lengkap</t>
  </si>
  <si>
    <t>Temp., tgl lahir</t>
  </si>
  <si>
    <t>No. &amp; tgl putusan</t>
  </si>
  <si>
    <t>Ibu kandung</t>
  </si>
  <si>
    <t>Ibu Kandung</t>
  </si>
  <si>
    <t>Maskawin/ Mahar</t>
  </si>
  <si>
    <t>PERWALIAN NASAB</t>
  </si>
  <si>
    <t>5. Kewarganegaraan</t>
  </si>
  <si>
    <t>2. NIK             |Pendidikan</t>
  </si>
  <si>
    <t>SD/ Sederajat</t>
  </si>
  <si>
    <t>SLTP</t>
  </si>
  <si>
    <t>SLTA</t>
  </si>
  <si>
    <t>Diploma/Sarjana</t>
  </si>
  <si>
    <t>6. Status       |Beristri Ke …</t>
  </si>
  <si>
    <t xml:space="preserve">     Bin (Ayah Wali)</t>
  </si>
  <si>
    <t>korea</t>
  </si>
  <si>
    <t>1. Nama IBU                |Binti</t>
  </si>
  <si>
    <t>1. Nama AYAH             |Bin</t>
  </si>
  <si>
    <t>&lt;&lt;&lt; Pilihan &amp; Isian Manual</t>
  </si>
  <si>
    <t>&lt;&lt;&lt; Isian Manual</t>
  </si>
  <si>
    <t>&lt;&lt;&lt; Ada Pilihan</t>
  </si>
  <si>
    <t>&lt;&lt;&lt; Ada Pilihan : 2</t>
  </si>
  <si>
    <t>Terkunci</t>
  </si>
  <si>
    <t>Inputlah Data                                                                                                                            dengan                                                                                                                                            CERMAT &amp; TELITI!</t>
  </si>
  <si>
    <t>Cetak Konsep RDS</t>
  </si>
  <si>
    <t>Email Catin</t>
  </si>
  <si>
    <t>REKAM DATA SEMENTARA</t>
  </si>
  <si>
    <t>1. Nama lengkap dan alias</t>
  </si>
  <si>
    <t>2. Bin</t>
  </si>
  <si>
    <t xml:space="preserve">3. Nomor Induk Kependudukan	</t>
  </si>
  <si>
    <t>4. Tempat dan tanggal lahir</t>
  </si>
  <si>
    <t xml:space="preserve">6. Agama </t>
  </si>
  <si>
    <t>7. Pekerjaan</t>
  </si>
  <si>
    <t>8. Alamat</t>
  </si>
  <si>
    <t>2. Binti</t>
  </si>
  <si>
    <t>Menyatakan dengan sesungguhnya bahwa atas dasar suka rela, dengan kesadaran sendiri, tanpa ada paksaan dari siapapun juga, setuju untuk melangsungkan pernikahan.</t>
  </si>
  <si>
    <t>SAKSI KEDUA</t>
  </si>
  <si>
    <t>Pengantar</t>
  </si>
  <si>
    <t>Waktu</t>
  </si>
  <si>
    <t>Lokasi</t>
  </si>
  <si>
    <t>____________________________________________</t>
  </si>
  <si>
    <t>KUA WATUKUMPUL</t>
  </si>
  <si>
    <t>RP                             // _________________ Gram</t>
  </si>
  <si>
    <t>3. Nomor Induk Kependudukan</t>
  </si>
  <si>
    <t xml:space="preserve">         Demikianlah surat izin ini dibuat dengan kesadaran tanpa ada paksaan dari siapapun dan untuk digunakan seperlunya.</t>
  </si>
  <si>
    <t>Yang bertanda tangan di bawah ini:</t>
  </si>
  <si>
    <t>Islam</t>
  </si>
  <si>
    <t>Pa-Pi</t>
  </si>
  <si>
    <t>Pa</t>
  </si>
  <si>
    <t>Pi</t>
  </si>
  <si>
    <t>Nihil</t>
  </si>
  <si>
    <t>Pilih cetak Surat Izin (N5) ----&gt;&gt;&gt;</t>
  </si>
  <si>
    <t>Calon SUAMI</t>
  </si>
  <si>
    <t>Calon ISTRI</t>
  </si>
  <si>
    <t>&gt;</t>
  </si>
  <si>
    <t>DATA JADI</t>
  </si>
  <si>
    <t>DATA WALI NIKAH</t>
  </si>
  <si>
    <t>BERSAMA</t>
  </si>
  <si>
    <t>BERCERAI</t>
  </si>
  <si>
    <t xml:space="preserve">Orang tua ---&gt; </t>
  </si>
  <si>
    <t>SURAT PERNYATAAN</t>
  </si>
  <si>
    <t>Bismillahirrahmanirrahim</t>
  </si>
  <si>
    <t>Yang bertanda tangan di bawah ini, menerangkan dengan sesungguhnya bahwa calon pengantin:</t>
  </si>
  <si>
    <t>Alasan / Sebab Wali Hakim</t>
  </si>
  <si>
    <t>Agama : ISLAM</t>
  </si>
  <si>
    <t xml:space="preserve">         Demikian keterangan ini dibuat dengan sebenar-benarnya untuk menjadi maklum dan digunakan sebagaimana mestinya.</t>
  </si>
  <si>
    <t>Permohonan Pernikahan Menggunakan Wali Hakim</t>
  </si>
  <si>
    <t>2. Wali dimakdud pada nomor 1 (satu) dalam keadaan:</t>
  </si>
  <si>
    <t>Pilih wali aqrab terakhir --&gt;&gt;&gt;</t>
  </si>
  <si>
    <t>1. Setelah ditelusuri dengan seksama ketersambungan wali aqrab saya jatuh pada:</t>
  </si>
  <si>
    <t xml:space="preserve">Telah meninggal dunia sehingga menjadi: </t>
  </si>
  <si>
    <t>Lokasi akad nikah</t>
  </si>
  <si>
    <t xml:space="preserve">       Demikian pernyataan ini saya buat dengan penuh kesadaran tanpa paksaan pihak manapun, dan saya siap menerima akibat hukum apapun jika pernyataan ini tidak sesuai keadaan sebenarnya.</t>
  </si>
  <si>
    <t>Saksi Kesatu,</t>
  </si>
  <si>
    <t>Saksi Kedua,</t>
  </si>
  <si>
    <t>Yang menyatakan,</t>
  </si>
  <si>
    <t>WALI SAKIT AYAN/ HILANG AKAL SEMENTARA</t>
  </si>
  <si>
    <t>TARMIN</t>
  </si>
  <si>
    <t>TUSAM</t>
  </si>
  <si>
    <t>Lamp.</t>
  </si>
  <si>
    <t>Permohonan Dispensasi</t>
  </si>
  <si>
    <t>dengan hormat memohon agar Camat Watukumpul berkenan memberikan dispensasi pendaftaran nikah untuk pelaksanan kurang dari 10 (sepuluh) hari kerja.</t>
  </si>
  <si>
    <t>-</t>
  </si>
  <si>
    <t>Camat Watukumpul</t>
  </si>
  <si>
    <t>Alasan</t>
  </si>
  <si>
    <t>ANAK PAMAN KAKEK (SEAYAH)</t>
  </si>
  <si>
    <t>ANAK PAMAN KAKEK (KANDUNG)</t>
  </si>
  <si>
    <t>PAMAN KAKEK (SEAYAH)</t>
  </si>
  <si>
    <t>ANAK PAMAN (SEAYAH)</t>
  </si>
  <si>
    <t>CUCU PAMAN (SEAYAH)</t>
  </si>
  <si>
    <t>PAMAN AYAH (SEAYAH)</t>
  </si>
  <si>
    <t>ANAK PAMAN AYAH (SEAYAH)</t>
  </si>
  <si>
    <t>ANAK PAMAN (KANDUNG)</t>
  </si>
  <si>
    <t>CUCU PAMAN (KANDUNG)</t>
  </si>
  <si>
    <t>PAMAN AYAH (KANDUNG)</t>
  </si>
  <si>
    <t>ANAK PAMAN AYAH (KANDUNG)</t>
  </si>
  <si>
    <t>PAMAN KAKEK (KANDUNG)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</si>
  <si>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</si>
  <si>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</si>
  <si>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</si>
  <si>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</si>
  <si>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</si>
  <si>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</si>
  <si>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</si>
  <si>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</si>
  <si>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</si>
  <si>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</si>
  <si>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</si>
  <si>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</si>
  <si>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</si>
  <si>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</si>
  <si>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</si>
  <si>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</si>
  <si>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</si>
  <si>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</si>
  <si>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</si>
  <si>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</si>
  <si>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KAMUS ALASAN DISPENSASI WAKTU AKAD NIKAH</t>
  </si>
  <si>
    <t>Isi terlebih dahulu data KAMUS ini dan hasilnya tinggal memilih di Tab Pilihan!</t>
  </si>
  <si>
    <r>
      <t xml:space="preserve">KAMUS LOKASI AKAD NIKAH </t>
    </r>
    <r>
      <rPr>
        <sz val="9"/>
        <color theme="1"/>
        <rFont val="Tahoma"/>
        <family val="2"/>
      </rPr>
      <t>(Cukup Sampai Desanya Saja)</t>
    </r>
  </si>
  <si>
    <t>KETERBATASAN WAKTU CUTI DARI PERUSAHAAN</t>
  </si>
  <si>
    <t>WALI KRITIS (DARURAT KESEHATAN)</t>
  </si>
  <si>
    <t>KEPENTINGAN DINAS/ TUGAS NEGARA</t>
  </si>
  <si>
    <t>Cetak Permohonan Dispensasi Kurang 10 hari Kerja</t>
  </si>
  <si>
    <t>Catatan:</t>
  </si>
  <si>
    <t>Putusan Pengadilan Agama Pemalang (catin kurang dari 19 tahun)</t>
  </si>
  <si>
    <t xml:space="preserve">          /Pdt.P/2026/PA.Pml           *Tanggal :</t>
  </si>
  <si>
    <t>+62 8</t>
  </si>
  <si>
    <t>PERWALIAN HAKIM</t>
  </si>
  <si>
    <t>…</t>
  </si>
  <si>
    <t>Meterai 10K</t>
  </si>
  <si>
    <t>RDS - OPERATOR</t>
  </si>
  <si>
    <t>Mulai Block ---&gt;</t>
  </si>
  <si>
    <t>Akhir Block ---&gt;&gt;</t>
  </si>
  <si>
    <t>Paste di Note Pad</t>
  </si>
  <si>
    <t>Blok area TIDAK TERKUNCI dan COPY</t>
  </si>
  <si>
    <t>Copy hasil hasil di Note Pad</t>
  </si>
  <si>
    <t>Paste di WA dan kirim ke OPERATOR KUA</t>
  </si>
  <si>
    <t>=============</t>
  </si>
  <si>
    <t>==============</t>
  </si>
  <si>
    <t>(Diurutkan dari N1, N5, AC Asli, Berkas Khusus TNI/ Polri dan Rekomendasi)</t>
  </si>
  <si>
    <t>&lt; ---- Wajib Input Data</t>
  </si>
  <si>
    <t>&lt; Wajib Input Data/ " - "</t>
  </si>
  <si>
    <t>TAMBI</t>
  </si>
  <si>
    <t>Berkas Cetak</t>
  </si>
  <si>
    <t>N1- Putra</t>
  </si>
  <si>
    <t>N1- Putri</t>
  </si>
  <si>
    <t>Kendali</t>
  </si>
  <si>
    <t>RDS</t>
  </si>
  <si>
    <t>SKW</t>
  </si>
  <si>
    <t>Super WH</t>
  </si>
  <si>
    <t>N2- Permohonan</t>
  </si>
  <si>
    <t>N4- Persetujuan</t>
  </si>
  <si>
    <t>Ket. Pilihan</t>
  </si>
  <si>
    <t>N5- Izin Pengampu</t>
  </si>
  <si>
    <t>WALI ADHAL (MOGOK) - Putusan PA</t>
  </si>
  <si>
    <t>Status Perwalian</t>
  </si>
  <si>
    <t>IDENTITAS WALI NASAB</t>
  </si>
  <si>
    <t>Petugas Pengantar</t>
  </si>
  <si>
    <t>Status Jabatan Kades</t>
  </si>
  <si>
    <t>NO. REGISTER SURAT</t>
  </si>
  <si>
    <t>KAMUS PETUGAS PENGANTAR PENDAFTARAN NIKAH</t>
  </si>
  <si>
    <t>LOKAL</t>
  </si>
  <si>
    <t>REKOMENDASI</t>
  </si>
  <si>
    <t>Dispensasi</t>
  </si>
  <si>
    <t>WAJIB Cetak</t>
  </si>
  <si>
    <t>PILIHAN Cetak</t>
  </si>
  <si>
    <t xml:space="preserve">         Demikian permohonan dispensasi ini disampaikan untuk menjadikan maklum dan guna seperlunya.</t>
  </si>
  <si>
    <t>&lt;&lt; Menu Utama</t>
  </si>
  <si>
    <t>Konsep Cetak Model N1 - Catina Putri</t>
  </si>
  <si>
    <t>Konsep Cetak Model N1 - Catin Putra</t>
  </si>
  <si>
    <t>Lembar Kendali</t>
  </si>
  <si>
    <t>Watukumpul,</t>
  </si>
  <si>
    <t>Petugas Pemeriksa,</t>
  </si>
  <si>
    <t>____________________</t>
  </si>
  <si>
    <t>Calon Suami,</t>
  </si>
  <si>
    <t>Calon Istri,</t>
  </si>
  <si>
    <t>Lembar Persetujuan</t>
  </si>
  <si>
    <t>FILE NON CETAK</t>
  </si>
  <si>
    <t>Kamus Data</t>
  </si>
  <si>
    <t>RDS WhatsApp</t>
  </si>
  <si>
    <t>_____________________________ @gmail.com -</t>
  </si>
  <si>
    <t>=======================================</t>
  </si>
  <si>
    <t>______________________________________</t>
  </si>
  <si>
    <t>_____________________</t>
  </si>
  <si>
    <t>Nama Ayah</t>
  </si>
  <si>
    <t>Nama Ibu</t>
  </si>
  <si>
    <t>Tempat, Tgl Lahir</t>
  </si>
  <si>
    <t>Warganegara</t>
  </si>
  <si>
    <t>Waktu Pelaksanaan dan Alasan Dispensasi</t>
  </si>
  <si>
    <t>DIisi jika wali nasab BUKAN Ayah Kandung!</t>
  </si>
  <si>
    <t>KETERBATASAN WAKTU CUTI DARI PEMBERI KERJA</t>
  </si>
  <si>
    <t>DARURAT KESEHATAN ORANG TUA</t>
  </si>
  <si>
    <t>DK. Tambi RT 001 RW 001 Tambi</t>
  </si>
  <si>
    <t>DK. Karanggintung RT 004 RW 001 Tambi</t>
  </si>
  <si>
    <t>DK. Sambeng RT 003 RW 001 Tambi</t>
  </si>
  <si>
    <t>DK. Batur RT 001 RW 002 Tambi</t>
  </si>
  <si>
    <t>DK. Jambu Tengah RT 002 RW 002 Tambi</t>
  </si>
  <si>
    <t>DK. Jambu Lor RT 003 RW 002 Tambi</t>
  </si>
  <si>
    <t>DK. Jambu Tengah RT 004 RW 002 Tambi</t>
  </si>
  <si>
    <t>DK. Jambu Wetan RT 001 RW 003 Tambi</t>
  </si>
  <si>
    <t>DK. Jambu Wetan RT 002 RW 003 Tambi</t>
  </si>
  <si>
    <t>DK. Jambu Kidul RT 003 RW 003 Tambi</t>
  </si>
  <si>
    <t>DK. Tambah Reja RT 004 RW 003 Tambi</t>
  </si>
  <si>
    <t>DK. Bentang RT 001 RW 004 Tambi</t>
  </si>
  <si>
    <t>DK. Bentang RT 002 RW 004 Tambi</t>
  </si>
  <si>
    <t>DK. Bentang Kulon RT 003 RW 004 Tambi</t>
  </si>
  <si>
    <t>DK. Tambah Reja RT 004 RW 004 Tambi</t>
  </si>
  <si>
    <t>Chalim Muchtarom, S.Pd.I</t>
  </si>
  <si>
    <t>J U R I</t>
  </si>
  <si>
    <t>Dsn Simadu RT 003 RW 008 Desa Badak Kecamatan Belik Kabupaten Pemalang</t>
  </si>
  <si>
    <t>AOFA ARDIAN FADILLAH AZIZ</t>
  </si>
  <si>
    <t>3327041308020004</t>
  </si>
  <si>
    <t>….</t>
  </si>
  <si>
    <t>DK. Tambi RT 002 RW 001 Tambi</t>
  </si>
  <si>
    <t>TOHIRIN</t>
  </si>
  <si>
    <t>MUHAYAT</t>
  </si>
  <si>
    <t>3327040107730222</t>
  </si>
  <si>
    <t>……..</t>
  </si>
  <si>
    <t>KARIPAH</t>
  </si>
  <si>
    <t>SUMARTO</t>
  </si>
  <si>
    <t>3327044107740064</t>
  </si>
  <si>
    <t>FIKA INTAN ELMASARI</t>
  </si>
  <si>
    <t>3327034810050002</t>
  </si>
  <si>
    <t>Pelajar Mahasiswa</t>
  </si>
  <si>
    <t>Dsn Simadu RT 003 RW 008 Desa Badak</t>
  </si>
  <si>
    <t>Kecamatan Belik Kabupaten Pemalang</t>
  </si>
  <si>
    <t>SAMIUN</t>
  </si>
  <si>
    <t>WASNURI</t>
  </si>
  <si>
    <t>3327031103810011</t>
  </si>
  <si>
    <t>SRINANI</t>
  </si>
  <si>
    <t>SAHRON</t>
  </si>
  <si>
    <t>3327034101870012</t>
  </si>
  <si>
    <t>……</t>
  </si>
  <si>
    <t>AYAH KANDUNG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</si>
</sst>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@* &quot;:&quot;"/>
  </numFmts>
  <fonts count="93">
    <font>
      <sz val="11"/>
      <color theme="1"/>
      <name val="Calibri"/>
      <family val="2"/>
      <charset val="1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sz val="12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4"/>
      <color theme="1"/>
      <name val="Tahoma"/>
      <family val="2"/>
    </font>
    <font>
      <sz val="12"/>
      <color theme="1"/>
      <name val="Calibri"/>
      <family val="2"/>
      <charset val="1"/>
      <scheme val="minor"/>
    </font>
    <font>
      <sz val="12"/>
      <color rgb="FFFF0000"/>
      <name val="Calibri"/>
      <family val="2"/>
      <scheme val="minor"/>
    </font>
    <font>
      <sz val="12"/>
      <color rgb="FF002060"/>
      <name val="Calibri"/>
      <family val="2"/>
      <scheme val="minor"/>
    </font>
    <font>
      <sz val="14"/>
      <color theme="1"/>
      <name val="Berlin Sans FB Demi"/>
      <family val="2"/>
    </font>
    <font>
      <b/>
      <sz val="11"/>
      <color rgb="FFFF0000"/>
      <name val="Tahoma"/>
      <family val="2"/>
    </font>
    <font>
      <b/>
      <sz val="10"/>
      <color theme="1"/>
      <name val="Tahoma"/>
      <family val="2"/>
    </font>
    <font>
      <sz val="11"/>
      <color rgb="FF7030A0"/>
      <name val="Tahoma"/>
      <family val="2"/>
    </font>
    <font>
      <b/>
      <sz val="14"/>
      <color theme="0"/>
      <name val="Tahoma"/>
      <family val="2"/>
    </font>
    <font>
      <i/>
      <sz val="11.5"/>
      <color theme="1"/>
      <name val="Arial"/>
      <family val="2"/>
    </font>
    <font>
      <sz val="11.5"/>
      <color theme="1"/>
      <name val="Arial"/>
      <family val="2"/>
    </font>
    <font>
      <b/>
      <sz val="11.5"/>
      <color theme="1"/>
      <name val="Arial"/>
      <family val="2"/>
    </font>
    <font>
      <i/>
      <sz val="10"/>
      <color theme="1"/>
      <name val="Arial"/>
      <family val="2"/>
    </font>
    <font>
      <sz val="8"/>
      <name val="Calibri"/>
      <family val="2"/>
      <charset val="1"/>
      <scheme val="minor"/>
    </font>
    <font>
      <sz val="9"/>
      <color theme="1"/>
      <name val="Calibri"/>
      <family val="2"/>
      <charset val="1"/>
      <scheme val="minor"/>
    </font>
    <font>
      <sz val="11"/>
      <color theme="1"/>
      <name val="Candara"/>
      <family val="2"/>
    </font>
    <font>
      <b/>
      <sz val="20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sz val="10"/>
      <color theme="5" tint="-0.249977111117893"/>
      <name val="Calibri"/>
      <family val="2"/>
      <charset val="1"/>
      <scheme val="minor"/>
    </font>
    <font>
      <b/>
      <sz val="12"/>
      <color theme="9" tint="-0.249977111117893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1"/>
      <color theme="1"/>
      <name val="Arial"/>
      <family val="2"/>
      <charset val="1"/>
    </font>
    <font>
      <sz val="11"/>
      <color theme="1"/>
      <name val="Candara"/>
      <family val="2"/>
      <charset val="1"/>
    </font>
    <font>
      <b/>
      <sz val="12"/>
      <color theme="1"/>
      <name val="Tahoma"/>
      <family val="2"/>
    </font>
    <font>
      <sz val="11"/>
      <color theme="1"/>
      <name val="Tahoma"/>
      <family val="2"/>
      <charset val="1"/>
    </font>
    <font>
      <b/>
      <sz val="11"/>
      <color theme="1"/>
      <name val="Tahoma"/>
      <family val="2"/>
      <charset val="1"/>
    </font>
    <font>
      <b/>
      <sz val="14"/>
      <color theme="1"/>
      <name val="Arial Rounded MT Bold"/>
      <family val="2"/>
    </font>
    <font>
      <sz val="10"/>
      <color theme="1"/>
      <name val="Tahoma"/>
      <family val="2"/>
      <charset val="1"/>
    </font>
    <font>
      <b/>
      <u/>
      <sz val="14"/>
      <color theme="1"/>
      <name val="Arial"/>
      <family val="2"/>
    </font>
    <font>
      <b/>
      <sz val="14"/>
      <color theme="1"/>
      <name val="Arial"/>
      <family val="2"/>
    </font>
    <font>
      <b/>
      <sz val="13"/>
      <color theme="1"/>
      <name val="Tahoma"/>
      <family val="2"/>
    </font>
    <font>
      <b/>
      <sz val="16"/>
      <color theme="1"/>
      <name val="Tahoma"/>
      <family val="2"/>
    </font>
    <font>
      <sz val="11"/>
      <color theme="1"/>
      <name val="Arial Narrow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0"/>
      <name val="Arial"/>
      <family val="2"/>
    </font>
    <font>
      <b/>
      <sz val="11"/>
      <color rgb="FFC00000"/>
      <name val="Arial"/>
      <family val="2"/>
    </font>
    <font>
      <b/>
      <sz val="16"/>
      <color rgb="FFC00000"/>
      <name val="Arial"/>
      <family val="2"/>
    </font>
    <font>
      <sz val="8"/>
      <color theme="1"/>
      <name val="Arial"/>
      <family val="2"/>
    </font>
    <font>
      <b/>
      <sz val="11"/>
      <color theme="5" tint="-0.249977111117893"/>
      <name val="Tahoma"/>
      <family val="2"/>
    </font>
    <font>
      <b/>
      <sz val="14"/>
      <color theme="1"/>
      <name val="Aptos"/>
      <family val="2"/>
    </font>
    <font>
      <i/>
      <sz val="10"/>
      <color theme="1"/>
      <name val="Calibri"/>
      <family val="2"/>
    </font>
    <font>
      <b/>
      <sz val="11"/>
      <color theme="1"/>
      <name val="Calibri Light"/>
      <family val="2"/>
      <scheme val="major"/>
    </font>
    <font>
      <sz val="11.5"/>
      <color theme="1"/>
      <name val="Calibri"/>
      <family val="2"/>
    </font>
    <font>
      <b/>
      <sz val="11.5"/>
      <color theme="1"/>
      <name val="Calibri"/>
      <family val="2"/>
    </font>
    <font>
      <sz val="10"/>
      <color theme="1"/>
      <name val="Calibri"/>
      <family val="2"/>
      <charset val="1"/>
      <scheme val="minor"/>
    </font>
    <font>
      <b/>
      <sz val="18"/>
      <color theme="8" tint="-0.249977111117893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9"/>
      <color theme="1"/>
      <name val="Tahoma"/>
      <family val="2"/>
    </font>
    <font>
      <b/>
      <sz val="10"/>
      <color rgb="FF0070C0"/>
      <name val="Calibri"/>
      <family val="2"/>
      <scheme val="minor"/>
    </font>
    <font>
      <b/>
      <sz val="11"/>
      <color rgb="FF7030A0"/>
      <name val="Arial"/>
      <family val="2"/>
    </font>
    <font>
      <i/>
      <sz val="11"/>
      <color theme="1"/>
      <name val="Arial"/>
      <family val="2"/>
    </font>
    <font>
      <sz val="9"/>
      <color theme="2" tint="-0.499984740745262"/>
      <name val="Tahoma"/>
      <family val="2"/>
    </font>
    <font>
      <b/>
      <sz val="11"/>
      <color theme="0"/>
      <name val="Tahoma"/>
      <family val="2"/>
    </font>
    <font>
      <sz val="9"/>
      <color rgb="FF7030A0"/>
      <name val="Aharoni"/>
      <charset val="177"/>
    </font>
    <font>
      <sz val="11"/>
      <color rgb="FF7030A0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  <font>
      <b/>
      <sz val="12"/>
      <color rgb="FF7030A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8"/>
      <color rgb="FFFF0000"/>
      <name val="Arial"/>
      <family val="2"/>
    </font>
    <font>
      <u/>
      <sz val="10"/>
      <color theme="10"/>
      <name val="Calibri"/>
      <family val="2"/>
      <charset val="1"/>
      <scheme val="minor"/>
    </font>
    <font>
      <b/>
      <u/>
      <sz val="11"/>
      <color theme="10"/>
      <name val="Calibri"/>
      <family val="2"/>
      <scheme val="minor"/>
    </font>
    <font>
      <b/>
      <u/>
      <sz val="12"/>
      <color theme="10"/>
      <name val="Calibri"/>
      <family val="2"/>
      <scheme val="minor"/>
    </font>
    <font>
      <b/>
      <sz val="10"/>
      <color rgb="FFFF0000"/>
      <name val="Tahoma"/>
      <family val="2"/>
    </font>
    <font>
      <b/>
      <u/>
      <sz val="12"/>
      <name val="Calibri"/>
      <family val="2"/>
      <scheme val="minor"/>
    </font>
    <font>
      <sz val="12"/>
      <color theme="9" tint="0.79998168889431442"/>
      <name val="Tahoma"/>
      <family val="2"/>
    </font>
    <font>
      <b/>
      <u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rgb="FFC00000"/>
      <name val="Arial"/>
      <family val="2"/>
    </font>
    <font>
      <b/>
      <sz val="10.5"/>
      <color theme="1"/>
      <name val="Tahoma"/>
      <family val="2"/>
      <charset val="1"/>
    </font>
    <font>
      <sz val="10.5"/>
      <color theme="1"/>
      <name val="Tahoma"/>
      <family val="2"/>
      <charset val="1"/>
    </font>
    <font>
      <sz val="10.5"/>
      <color theme="1"/>
      <name val="Candara"/>
      <family val="2"/>
      <charset val="1"/>
    </font>
    <font>
      <sz val="10.5"/>
      <color theme="1"/>
      <name val="Tahoma"/>
      <family val="2"/>
    </font>
    <font>
      <u/>
      <sz val="11"/>
      <name val="Calibri"/>
      <family val="2"/>
      <charset val="1"/>
      <scheme val="minor"/>
    </font>
    <font>
      <sz val="14"/>
      <color theme="1"/>
      <name val="Tahoma"/>
      <family val="2"/>
    </font>
    <font>
      <b/>
      <u/>
      <sz val="12"/>
      <color theme="1"/>
      <name val="Tahoma"/>
      <family val="2"/>
    </font>
    <font>
      <sz val="11"/>
      <color rgb="FFFFFF00"/>
      <name val="Calibri"/>
      <family val="2"/>
      <scheme val="minor"/>
    </font>
    <font>
      <sz val="11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EA8FF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1" fillId="0" borderId="0" applyNumberFormat="0" applyFill="0" applyBorder="0" applyAlignment="0" applyProtection="0"/>
  </cellStyleXfs>
  <cellXfs count="329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7" fillId="3" borderId="0" xfId="0" applyFont="1" applyFill="1" applyProtection="1">
      <protection hidden="1"/>
    </xf>
    <xf numFmtId="0" fontId="7" fillId="0" borderId="0" xfId="0" applyFont="1" applyProtection="1">
      <protection hidden="1"/>
    </xf>
    <xf numFmtId="0" fontId="17" fillId="0" borderId="0" xfId="0" applyFont="1" applyAlignment="1" applyProtection="1">
      <alignment horizontal="right"/>
      <protection hidden="1"/>
    </xf>
    <xf numFmtId="49" fontId="7" fillId="0" borderId="0" xfId="0" applyNumberFormat="1" applyFont="1" applyAlignment="1" applyProtection="1">
      <alignment horizontal="left"/>
      <protection hidden="1"/>
    </xf>
    <xf numFmtId="0" fontId="8" fillId="0" borderId="0" xfId="0" applyFont="1" applyProtection="1">
      <protection hidden="1"/>
    </xf>
    <xf numFmtId="0" fontId="7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left"/>
      <protection hidden="1"/>
    </xf>
    <xf numFmtId="0" fontId="7" fillId="0" borderId="0" xfId="0" applyFont="1" applyAlignment="1" applyProtection="1">
      <alignment horizontal="right"/>
      <protection hidden="1"/>
    </xf>
    <xf numFmtId="0" fontId="7" fillId="0" borderId="0" xfId="0" applyFont="1" applyAlignment="1" applyProtection="1">
      <alignment horizontal="left" indent="12"/>
      <protection hidden="1"/>
    </xf>
    <xf numFmtId="0" fontId="8" fillId="0" borderId="0" xfId="0" applyFont="1" applyAlignment="1" applyProtection="1">
      <alignment horizontal="left" indent="12"/>
      <protection hidden="1"/>
    </xf>
    <xf numFmtId="0" fontId="18" fillId="4" borderId="0" xfId="0" applyFont="1" applyFill="1" applyProtection="1">
      <protection hidden="1"/>
    </xf>
    <xf numFmtId="0" fontId="7" fillId="4" borderId="0" xfId="0" applyFont="1" applyFill="1" applyProtection="1">
      <protection hidden="1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21" fillId="0" borderId="0" xfId="0" applyFont="1" applyAlignment="1">
      <alignment horizontal="left" indent="2"/>
    </xf>
    <xf numFmtId="49" fontId="21" fillId="0" borderId="0" xfId="0" applyNumberFormat="1" applyFont="1"/>
    <xf numFmtId="0" fontId="21" fillId="0" borderId="0" xfId="0" applyFont="1" applyAlignment="1">
      <alignment horizontal="center"/>
    </xf>
    <xf numFmtId="0" fontId="21" fillId="0" borderId="4" xfId="0" applyFont="1" applyBorder="1"/>
    <xf numFmtId="0" fontId="23" fillId="0" borderId="0" xfId="0" applyFont="1" applyAlignment="1">
      <alignment horizontal="right"/>
    </xf>
    <xf numFmtId="0" fontId="21" fillId="0" borderId="0" xfId="0" applyFont="1" applyAlignment="1">
      <alignment horizontal="left" indent="6"/>
    </xf>
    <xf numFmtId="0" fontId="21" fillId="0" borderId="0" xfId="0" applyFont="1" applyAlignment="1">
      <alignment horizontal="right"/>
    </xf>
    <xf numFmtId="0" fontId="21" fillId="7" borderId="0" xfId="0" applyFont="1" applyFill="1"/>
    <xf numFmtId="0" fontId="20" fillId="7" borderId="0" xfId="0" applyFont="1" applyFill="1"/>
    <xf numFmtId="0" fontId="1" fillId="9" borderId="0" xfId="0" applyFont="1" applyFill="1"/>
    <xf numFmtId="0" fontId="26" fillId="0" borderId="0" xfId="0" applyFont="1"/>
    <xf numFmtId="0" fontId="12" fillId="0" borderId="0" xfId="0" applyFont="1" applyAlignment="1" applyProtection="1">
      <alignment vertical="center"/>
      <protection locked="0"/>
    </xf>
    <xf numFmtId="0" fontId="12" fillId="0" borderId="0" xfId="0" applyFont="1" applyAlignment="1" applyProtection="1">
      <alignment horizontal="left" vertical="center"/>
      <protection locked="0"/>
    </xf>
    <xf numFmtId="0" fontId="12" fillId="0" borderId="1" xfId="0" applyFont="1" applyBorder="1" applyAlignment="1" applyProtection="1">
      <alignment horizontal="left" vertical="center"/>
      <protection locked="0"/>
    </xf>
    <xf numFmtId="0" fontId="12" fillId="0" borderId="2" xfId="0" applyFont="1" applyBorder="1" applyAlignment="1" applyProtection="1">
      <alignment vertical="center"/>
      <protection locked="0"/>
    </xf>
    <xf numFmtId="0" fontId="12" fillId="0" borderId="1" xfId="0" applyFont="1" applyBorder="1" applyAlignment="1" applyProtection="1">
      <alignment vertical="center"/>
      <protection locked="0"/>
    </xf>
    <xf numFmtId="0" fontId="12" fillId="0" borderId="0" xfId="0" applyFont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vertical="center"/>
      <protection hidden="1"/>
    </xf>
    <xf numFmtId="0" fontId="12" fillId="0" borderId="0" xfId="0" applyFont="1" applyAlignment="1" applyProtection="1">
      <alignment horizontal="left" vertical="center"/>
      <protection hidden="1"/>
    </xf>
    <xf numFmtId="14" fontId="12" fillId="0" borderId="0" xfId="0" applyNumberFormat="1" applyFont="1" applyAlignment="1" applyProtection="1">
      <alignment horizontal="left" vertical="center"/>
      <protection hidden="1"/>
    </xf>
    <xf numFmtId="164" fontId="14" fillId="5" borderId="1" xfId="0" applyNumberFormat="1" applyFont="1" applyFill="1" applyBorder="1" applyAlignment="1" applyProtection="1">
      <alignment vertical="center"/>
      <protection hidden="1"/>
    </xf>
    <xf numFmtId="0" fontId="12" fillId="0" borderId="0" xfId="0" quotePrefix="1" applyFont="1" applyAlignment="1" applyProtection="1">
      <alignment vertical="center"/>
      <protection hidden="1"/>
    </xf>
    <xf numFmtId="0" fontId="12" fillId="10" borderId="5" xfId="0" applyFont="1" applyFill="1" applyBorder="1" applyAlignment="1" applyProtection="1">
      <alignment vertical="center"/>
      <protection hidden="1"/>
    </xf>
    <xf numFmtId="0" fontId="12" fillId="11" borderId="5" xfId="0" applyFont="1" applyFill="1" applyBorder="1" applyAlignment="1" applyProtection="1">
      <alignment vertical="center"/>
      <protection hidden="1"/>
    </xf>
    <xf numFmtId="164" fontId="14" fillId="6" borderId="1" xfId="0" applyNumberFormat="1" applyFont="1" applyFill="1" applyBorder="1" applyAlignment="1" applyProtection="1">
      <alignment vertical="center"/>
      <protection hidden="1"/>
    </xf>
    <xf numFmtId="0" fontId="12" fillId="4" borderId="5" xfId="0" applyFont="1" applyFill="1" applyBorder="1" applyAlignment="1" applyProtection="1">
      <alignment vertical="center"/>
      <protection hidden="1"/>
    </xf>
    <xf numFmtId="164" fontId="10" fillId="0" borderId="0" xfId="0" applyNumberFormat="1" applyFont="1" applyAlignment="1" applyProtection="1">
      <alignment horizontal="left" vertical="center"/>
      <protection hidden="1"/>
    </xf>
    <xf numFmtId="0" fontId="25" fillId="0" borderId="1" xfId="0" applyFont="1" applyBorder="1" applyAlignment="1" applyProtection="1">
      <alignment horizontal="left" vertical="center"/>
      <protection hidden="1"/>
    </xf>
    <xf numFmtId="164" fontId="14" fillId="8" borderId="2" xfId="0" applyNumberFormat="1" applyFont="1" applyFill="1" applyBorder="1" applyAlignment="1" applyProtection="1">
      <alignment vertical="center"/>
      <protection hidden="1"/>
    </xf>
    <xf numFmtId="0" fontId="12" fillId="13" borderId="0" xfId="0" applyFont="1" applyFill="1" applyAlignment="1" applyProtection="1">
      <alignment horizontal="center" vertical="center"/>
      <protection hidden="1"/>
    </xf>
    <xf numFmtId="0" fontId="12" fillId="13" borderId="0" xfId="0" applyFont="1" applyFill="1" applyAlignment="1" applyProtection="1">
      <alignment horizontal="right" vertical="center"/>
      <protection hidden="1"/>
    </xf>
    <xf numFmtId="0" fontId="12" fillId="13" borderId="0" xfId="0" applyFont="1" applyFill="1" applyAlignment="1" applyProtection="1">
      <alignment vertical="center"/>
      <protection hidden="1"/>
    </xf>
    <xf numFmtId="164" fontId="29" fillId="0" borderId="0" xfId="0" applyNumberFormat="1" applyFont="1" applyAlignment="1" applyProtection="1">
      <alignment horizontal="left" vertical="center"/>
      <protection hidden="1"/>
    </xf>
    <xf numFmtId="164" fontId="30" fillId="0" borderId="0" xfId="0" applyNumberFormat="1" applyFont="1" applyAlignment="1" applyProtection="1">
      <alignment horizontal="left" vertical="center"/>
      <protection hidden="1"/>
    </xf>
    <xf numFmtId="164" fontId="30" fillId="0" borderId="4" xfId="0" applyNumberFormat="1" applyFont="1" applyBorder="1" applyAlignment="1" applyProtection="1">
      <alignment horizontal="left" vertical="center"/>
      <protection hidden="1"/>
    </xf>
    <xf numFmtId="0" fontId="12" fillId="0" borderId="4" xfId="0" applyFont="1" applyBorder="1" applyAlignment="1" applyProtection="1">
      <alignment vertical="center"/>
      <protection locked="0"/>
    </xf>
    <xf numFmtId="0" fontId="32" fillId="0" borderId="0" xfId="0" applyFont="1" applyAlignment="1" applyProtection="1">
      <alignment vertical="center"/>
      <protection locked="0"/>
    </xf>
    <xf numFmtId="0" fontId="31" fillId="0" borderId="0" xfId="0" quotePrefix="1" applyFont="1" applyAlignment="1" applyProtection="1">
      <alignment horizontal="left" vertical="center"/>
      <protection hidden="1"/>
    </xf>
    <xf numFmtId="0" fontId="34" fillId="0" borderId="0" xfId="0" applyFont="1"/>
    <xf numFmtId="0" fontId="35" fillId="0" borderId="0" xfId="0" applyFont="1"/>
    <xf numFmtId="0" fontId="36" fillId="0" borderId="0" xfId="0" applyFont="1"/>
    <xf numFmtId="0" fontId="9" fillId="0" borderId="0" xfId="0" applyFont="1"/>
    <xf numFmtId="0" fontId="37" fillId="0" borderId="0" xfId="0" applyFont="1"/>
    <xf numFmtId="0" fontId="34" fillId="9" borderId="0" xfId="0" applyFont="1" applyFill="1"/>
    <xf numFmtId="0" fontId="37" fillId="0" borderId="0" xfId="0" applyFont="1" applyAlignment="1">
      <alignment horizontal="left" indent="4"/>
    </xf>
    <xf numFmtId="0" fontId="38" fillId="0" borderId="0" xfId="0" applyFont="1" applyAlignment="1">
      <alignment horizontal="left" indent="4"/>
    </xf>
    <xf numFmtId="0" fontId="37" fillId="0" borderId="0" xfId="0" applyFont="1" applyAlignment="1">
      <alignment horizontal="center"/>
    </xf>
    <xf numFmtId="164" fontId="40" fillId="0" borderId="0" xfId="0" applyNumberFormat="1" applyFont="1"/>
    <xf numFmtId="0" fontId="38" fillId="0" borderId="0" xfId="0" applyFont="1" applyAlignment="1">
      <alignment horizontal="center"/>
    </xf>
    <xf numFmtId="0" fontId="3" fillId="0" borderId="0" xfId="0" applyFont="1" applyProtection="1">
      <protection hidden="1"/>
    </xf>
    <xf numFmtId="0" fontId="6" fillId="0" borderId="0" xfId="0" applyFont="1" applyProtection="1">
      <protection hidden="1"/>
    </xf>
    <xf numFmtId="164" fontId="3" fillId="0" borderId="0" xfId="0" applyNumberFormat="1" applyFont="1" applyProtection="1">
      <protection hidden="1"/>
    </xf>
    <xf numFmtId="0" fontId="42" fillId="0" borderId="0" xfId="0" applyFont="1" applyAlignment="1" applyProtection="1">
      <alignment horizontal="left" indent="1"/>
      <protection hidden="1"/>
    </xf>
    <xf numFmtId="0" fontId="3" fillId="0" borderId="0" xfId="0" applyFont="1" applyAlignment="1" applyProtection="1">
      <alignment horizontal="left" indent="1"/>
      <protection hidden="1"/>
    </xf>
    <xf numFmtId="0" fontId="3" fillId="0" borderId="0" xfId="0" applyFont="1" applyAlignment="1" applyProtection="1">
      <alignment horizontal="left" indent="6"/>
      <protection hidden="1"/>
    </xf>
    <xf numFmtId="0" fontId="3" fillId="0" borderId="0" xfId="0" applyFont="1" applyAlignment="1" applyProtection="1">
      <alignment horizontal="left" indent="3"/>
      <protection hidden="1"/>
    </xf>
    <xf numFmtId="0" fontId="6" fillId="0" borderId="0" xfId="0" applyFont="1" applyAlignment="1" applyProtection="1">
      <alignment horizontal="left" indent="3"/>
      <protection hidden="1"/>
    </xf>
    <xf numFmtId="0" fontId="6" fillId="0" borderId="0" xfId="0" applyFont="1" applyAlignment="1" applyProtection="1">
      <alignment horizontal="left" indent="6"/>
      <protection hidden="1"/>
    </xf>
    <xf numFmtId="0" fontId="9" fillId="0" borderId="0" xfId="0" applyFont="1" applyProtection="1">
      <protection hidden="1"/>
    </xf>
    <xf numFmtId="164" fontId="9" fillId="0" borderId="0" xfId="0" applyNumberFormat="1" applyFont="1" applyProtection="1">
      <protection hidden="1"/>
    </xf>
    <xf numFmtId="0" fontId="43" fillId="0" borderId="0" xfId="0" applyFont="1" applyProtection="1">
      <protection hidden="1"/>
    </xf>
    <xf numFmtId="0" fontId="9" fillId="0" borderId="4" xfId="0" applyFont="1" applyBorder="1" applyProtection="1">
      <protection hidden="1"/>
    </xf>
    <xf numFmtId="0" fontId="9" fillId="0" borderId="17" xfId="0" applyFont="1" applyBorder="1" applyProtection="1">
      <protection hidden="1"/>
    </xf>
    <xf numFmtId="0" fontId="9" fillId="0" borderId="6" xfId="0" applyFont="1" applyBorder="1" applyProtection="1">
      <protection hidden="1"/>
    </xf>
    <xf numFmtId="0" fontId="9" fillId="0" borderId="18" xfId="0" applyFont="1" applyBorder="1" applyProtection="1">
      <protection hidden="1"/>
    </xf>
    <xf numFmtId="0" fontId="9" fillId="0" borderId="19" xfId="0" applyFont="1" applyBorder="1" applyProtection="1">
      <protection hidden="1"/>
    </xf>
    <xf numFmtId="0" fontId="9" fillId="0" borderId="20" xfId="0" applyFont="1" applyBorder="1" applyProtection="1">
      <protection hidden="1"/>
    </xf>
    <xf numFmtId="0" fontId="9" fillId="0" borderId="21" xfId="0" applyFont="1" applyBorder="1" applyProtection="1">
      <protection hidden="1"/>
    </xf>
    <xf numFmtId="0" fontId="9" fillId="0" borderId="1" xfId="0" applyFont="1" applyBorder="1" applyProtection="1">
      <protection hidden="1"/>
    </xf>
    <xf numFmtId="0" fontId="9" fillId="0" borderId="22" xfId="0" applyFont="1" applyBorder="1" applyProtection="1">
      <protection hidden="1"/>
    </xf>
    <xf numFmtId="0" fontId="1" fillId="0" borderId="0" xfId="0" applyFont="1" applyProtection="1"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left"/>
      <protection hidden="1"/>
    </xf>
    <xf numFmtId="0" fontId="21" fillId="0" borderId="0" xfId="0" applyFont="1" applyProtection="1">
      <protection hidden="1"/>
    </xf>
    <xf numFmtId="0" fontId="22" fillId="0" borderId="0" xfId="0" applyFont="1" applyAlignment="1" applyProtection="1">
      <alignment horizontal="left" indent="1"/>
      <protection hidden="1"/>
    </xf>
    <xf numFmtId="0" fontId="21" fillId="0" borderId="0" xfId="0" applyFont="1" applyAlignment="1" applyProtection="1">
      <alignment horizontal="left" indent="1"/>
      <protection hidden="1"/>
    </xf>
    <xf numFmtId="0" fontId="21" fillId="0" borderId="0" xfId="0" applyFont="1" applyAlignment="1" applyProtection="1">
      <alignment horizontal="left"/>
      <protection hidden="1"/>
    </xf>
    <xf numFmtId="0" fontId="1" fillId="0" borderId="5" xfId="0" applyFont="1" applyBorder="1" applyProtection="1">
      <protection hidden="1"/>
    </xf>
    <xf numFmtId="0" fontId="21" fillId="0" borderId="0" xfId="0" applyFont="1" applyAlignment="1" applyProtection="1">
      <alignment vertical="center"/>
      <protection hidden="1"/>
    </xf>
    <xf numFmtId="0" fontId="21" fillId="0" borderId="0" xfId="0" applyFont="1" applyAlignment="1" applyProtection="1">
      <alignment horizontal="left" indent="7"/>
      <protection hidden="1"/>
    </xf>
    <xf numFmtId="0" fontId="21" fillId="0" borderId="0" xfId="0" applyFont="1" applyAlignment="1" applyProtection="1">
      <alignment horizontal="left" indent="4"/>
      <protection hidden="1"/>
    </xf>
    <xf numFmtId="0" fontId="22" fillId="0" borderId="0" xfId="0" applyFont="1" applyAlignment="1" applyProtection="1">
      <alignment horizontal="left" indent="4"/>
      <protection hidden="1"/>
    </xf>
    <xf numFmtId="0" fontId="22" fillId="0" borderId="0" xfId="0" applyFont="1" applyAlignment="1" applyProtection="1">
      <alignment horizontal="left" indent="7"/>
      <protection hidden="1"/>
    </xf>
    <xf numFmtId="0" fontId="48" fillId="14" borderId="5" xfId="0" applyFont="1" applyFill="1" applyBorder="1" applyAlignment="1" applyProtection="1">
      <alignment horizontal="center" vertical="center"/>
      <protection locked="0"/>
    </xf>
    <xf numFmtId="0" fontId="49" fillId="0" borderId="5" xfId="0" applyFont="1" applyBorder="1" applyProtection="1">
      <protection hidden="1"/>
    </xf>
    <xf numFmtId="0" fontId="47" fillId="0" borderId="0" xfId="0" applyFont="1" applyAlignment="1" applyProtection="1">
      <alignment horizontal="center" vertical="center"/>
      <protection hidden="1"/>
    </xf>
    <xf numFmtId="14" fontId="12" fillId="0" borderId="0" xfId="0" applyNumberFormat="1" applyFont="1" applyAlignment="1" applyProtection="1">
      <alignment vertical="center"/>
      <protection hidden="1"/>
    </xf>
    <xf numFmtId="14" fontId="12" fillId="0" borderId="24" xfId="0" applyNumberFormat="1" applyFont="1" applyBorder="1" applyAlignment="1" applyProtection="1">
      <alignment horizontal="center" vertical="center"/>
      <protection hidden="1"/>
    </xf>
    <xf numFmtId="14" fontId="12" fillId="0" borderId="11" xfId="0" applyNumberFormat="1" applyFont="1" applyBorder="1" applyAlignment="1" applyProtection="1">
      <alignment horizontal="center" vertical="center"/>
      <protection hidden="1"/>
    </xf>
    <xf numFmtId="49" fontId="1" fillId="0" borderId="0" xfId="0" quotePrefix="1" applyNumberFormat="1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51" fillId="0" borderId="0" xfId="0" applyFont="1" applyAlignment="1" applyProtection="1">
      <alignment horizontal="center"/>
      <protection hidden="1"/>
    </xf>
    <xf numFmtId="0" fontId="2" fillId="0" borderId="23" xfId="0" applyFont="1" applyBorder="1" applyAlignment="1" applyProtection="1">
      <alignment horizontal="center" vertical="center"/>
      <protection hidden="1"/>
    </xf>
    <xf numFmtId="0" fontId="22" fillId="0" borderId="0" xfId="0" applyFont="1" applyProtection="1">
      <protection hidden="1"/>
    </xf>
    <xf numFmtId="0" fontId="1" fillId="15" borderId="5" xfId="0" applyFont="1" applyFill="1" applyBorder="1" applyAlignment="1" applyProtection="1">
      <alignment horizontal="center" vertical="center"/>
      <protection hidden="1"/>
    </xf>
    <xf numFmtId="0" fontId="50" fillId="0" borderId="0" xfId="0" applyFont="1" applyAlignment="1" applyProtection="1">
      <alignment horizontal="center" vertical="center"/>
      <protection hidden="1"/>
    </xf>
    <xf numFmtId="0" fontId="1" fillId="16" borderId="0" xfId="0" applyFont="1" applyFill="1" applyProtection="1">
      <protection hidden="1"/>
    </xf>
    <xf numFmtId="0" fontId="1" fillId="16" borderId="0" xfId="0" applyFont="1" applyFill="1" applyAlignment="1" applyProtection="1">
      <alignment horizontal="left"/>
      <protection hidden="1"/>
    </xf>
    <xf numFmtId="0" fontId="1" fillId="2" borderId="0" xfId="0" applyFont="1" applyFill="1" applyProtection="1">
      <protection hidden="1"/>
    </xf>
    <xf numFmtId="14" fontId="30" fillId="0" borderId="0" xfId="0" applyNumberFormat="1" applyFont="1" applyAlignment="1" applyProtection="1">
      <alignment horizontal="left" vertical="center"/>
      <protection locked="0"/>
    </xf>
    <xf numFmtId="0" fontId="27" fillId="0" borderId="0" xfId="0" applyFont="1" applyAlignment="1" applyProtection="1">
      <alignment horizontal="center" vertical="center"/>
      <protection hidden="1"/>
    </xf>
    <xf numFmtId="0" fontId="12" fillId="0" borderId="24" xfId="0" applyFont="1" applyBorder="1" applyAlignment="1" applyProtection="1">
      <alignment vertical="center"/>
      <protection hidden="1"/>
    </xf>
    <xf numFmtId="0" fontId="12" fillId="0" borderId="25" xfId="0" applyFont="1" applyBorder="1" applyAlignment="1" applyProtection="1">
      <alignment vertical="center"/>
      <protection hidden="1"/>
    </xf>
    <xf numFmtId="0" fontId="12" fillId="0" borderId="11" xfId="0" applyFont="1" applyBorder="1" applyAlignment="1" applyProtection="1">
      <alignment vertical="center"/>
      <protection hidden="1"/>
    </xf>
    <xf numFmtId="0" fontId="12" fillId="0" borderId="13" xfId="0" applyFont="1" applyBorder="1" applyAlignment="1" applyProtection="1">
      <alignment vertical="center"/>
      <protection hidden="1"/>
    </xf>
    <xf numFmtId="0" fontId="12" fillId="0" borderId="15" xfId="0" applyFont="1" applyBorder="1" applyAlignment="1" applyProtection="1">
      <alignment vertical="center"/>
      <protection hidden="1"/>
    </xf>
    <xf numFmtId="0" fontId="12" fillId="0" borderId="16" xfId="0" applyFont="1" applyBorder="1" applyAlignment="1" applyProtection="1">
      <alignment vertical="center"/>
      <protection hidden="1"/>
    </xf>
    <xf numFmtId="0" fontId="12" fillId="12" borderId="26" xfId="0" applyFont="1" applyFill="1" applyBorder="1" applyAlignment="1" applyProtection="1">
      <alignment vertical="center"/>
      <protection hidden="1"/>
    </xf>
    <xf numFmtId="0" fontId="52" fillId="18" borderId="23" xfId="0" applyFont="1" applyFill="1" applyBorder="1" applyAlignment="1" applyProtection="1">
      <alignment horizontal="right" vertical="center"/>
      <protection hidden="1"/>
    </xf>
    <xf numFmtId="0" fontId="53" fillId="17" borderId="23" xfId="0" applyFont="1" applyFill="1" applyBorder="1" applyAlignment="1" applyProtection="1">
      <alignment horizontal="center" vertical="center"/>
      <protection locked="0" hidden="1"/>
    </xf>
    <xf numFmtId="0" fontId="12" fillId="0" borderId="0" xfId="0" quotePrefix="1" applyFont="1" applyAlignment="1" applyProtection="1">
      <alignment horizontal="center" vertical="center"/>
      <protection hidden="1"/>
    </xf>
    <xf numFmtId="0" fontId="3" fillId="0" borderId="0" xfId="0" applyFont="1" applyAlignment="1">
      <alignment horizontal="right" vertical="center"/>
    </xf>
    <xf numFmtId="0" fontId="0" fillId="2" borderId="0" xfId="0" applyFill="1" applyProtection="1">
      <protection hidden="1"/>
    </xf>
    <xf numFmtId="0" fontId="0" fillId="0" borderId="0" xfId="0" applyProtection="1">
      <protection hidden="1"/>
    </xf>
    <xf numFmtId="0" fontId="54" fillId="0" borderId="0" xfId="0" applyFont="1" applyProtection="1">
      <protection hidden="1"/>
    </xf>
    <xf numFmtId="0" fontId="56" fillId="0" borderId="0" xfId="0" applyFont="1" applyProtection="1">
      <protection hidden="1"/>
    </xf>
    <xf numFmtId="49" fontId="56" fillId="0" borderId="0" xfId="0" applyNumberFormat="1" applyFont="1" applyProtection="1">
      <protection hidden="1"/>
    </xf>
    <xf numFmtId="164" fontId="56" fillId="0" borderId="0" xfId="0" applyNumberFormat="1" applyFont="1" applyProtection="1">
      <protection hidden="1"/>
    </xf>
    <xf numFmtId="0" fontId="57" fillId="0" borderId="0" xfId="0" applyFont="1" applyProtection="1">
      <protection hidden="1"/>
    </xf>
    <xf numFmtId="0" fontId="56" fillId="0" borderId="0" xfId="0" applyFont="1" applyAlignment="1" applyProtection="1">
      <alignment horizontal="left" indent="18"/>
      <protection hidden="1"/>
    </xf>
    <xf numFmtId="0" fontId="57" fillId="0" borderId="0" xfId="0" applyFont="1" applyAlignment="1" applyProtection="1">
      <alignment horizontal="left" indent="18"/>
      <protection hidden="1"/>
    </xf>
    <xf numFmtId="164" fontId="7" fillId="0" borderId="0" xfId="0" applyNumberFormat="1" applyFont="1" applyAlignment="1" applyProtection="1">
      <alignment horizontal="left" indent="4"/>
      <protection hidden="1"/>
    </xf>
    <xf numFmtId="0" fontId="7" fillId="0" borderId="0" xfId="0" applyFont="1" applyAlignment="1" applyProtection="1">
      <alignment horizontal="left" indent="4"/>
      <protection hidden="1"/>
    </xf>
    <xf numFmtId="20" fontId="7" fillId="0" borderId="0" xfId="0" applyNumberFormat="1" applyFont="1" applyProtection="1">
      <protection hidden="1"/>
    </xf>
    <xf numFmtId="0" fontId="7" fillId="0" borderId="0" xfId="0" applyFont="1" applyAlignment="1" applyProtection="1">
      <alignment horizontal="left" indent="19"/>
      <protection hidden="1"/>
    </xf>
    <xf numFmtId="0" fontId="7" fillId="0" borderId="0" xfId="0" applyFont="1" applyAlignment="1" applyProtection="1">
      <alignment horizontal="left" indent="5"/>
      <protection hidden="1"/>
    </xf>
    <xf numFmtId="0" fontId="7" fillId="0" borderId="0" xfId="0" applyFont="1" applyAlignment="1" applyProtection="1">
      <alignment horizontal="left" indent="6"/>
      <protection hidden="1"/>
    </xf>
    <xf numFmtId="0" fontId="7" fillId="0" borderId="0" xfId="0" applyFont="1" applyAlignment="1" applyProtection="1">
      <alignment horizontal="left" indent="5"/>
      <protection locked="0"/>
    </xf>
    <xf numFmtId="0" fontId="7" fillId="0" borderId="0" xfId="0" applyFont="1" applyAlignment="1" applyProtection="1">
      <alignment horizontal="left" indent="6"/>
      <protection locked="0"/>
    </xf>
    <xf numFmtId="0" fontId="1" fillId="9" borderId="23" xfId="0" applyFont="1" applyFill="1" applyBorder="1" applyAlignment="1" applyProtection="1">
      <alignment vertical="center"/>
      <protection hidden="1"/>
    </xf>
    <xf numFmtId="0" fontId="2" fillId="13" borderId="23" xfId="0" applyFont="1" applyFill="1" applyBorder="1" applyAlignment="1" applyProtection="1">
      <alignment horizontal="center" vertical="center"/>
      <protection locked="0"/>
    </xf>
    <xf numFmtId="0" fontId="58" fillId="0" borderId="0" xfId="0" applyFont="1" applyAlignment="1" applyProtection="1">
      <alignment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0" xfId="0" applyFont="1" applyProtection="1">
      <protection hidden="1"/>
    </xf>
    <xf numFmtId="0" fontId="5" fillId="0" borderId="23" xfId="0" applyFont="1" applyBorder="1" applyAlignment="1" applyProtection="1">
      <alignment horizontal="center" vertical="center"/>
      <protection hidden="1"/>
    </xf>
    <xf numFmtId="14" fontId="1" fillId="0" borderId="0" xfId="0" applyNumberFormat="1" applyFont="1" applyAlignment="1" applyProtection="1">
      <alignment horizontal="center" vertical="center"/>
      <protection hidden="1"/>
    </xf>
    <xf numFmtId="164" fontId="21" fillId="0" borderId="0" xfId="0" applyNumberFormat="1" applyFont="1" applyAlignment="1">
      <alignment horizontal="left" vertical="center"/>
    </xf>
    <xf numFmtId="0" fontId="21" fillId="0" borderId="0" xfId="0" applyFont="1" applyAlignment="1">
      <alignment horizontal="right" vertic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left" indent="11"/>
    </xf>
    <xf numFmtId="0" fontId="22" fillId="0" borderId="0" xfId="0" applyFont="1" applyAlignment="1">
      <alignment horizontal="left" indent="11"/>
    </xf>
    <xf numFmtId="0" fontId="21" fillId="0" borderId="0" xfId="0" applyFont="1" applyAlignment="1">
      <alignment horizontal="left" indent="16"/>
    </xf>
    <xf numFmtId="0" fontId="28" fillId="8" borderId="11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0" fillId="0" borderId="5" xfId="0" quotePrefix="1" applyBorder="1" applyAlignment="1">
      <alignment horizontal="center" vertical="center"/>
    </xf>
    <xf numFmtId="0" fontId="0" fillId="20" borderId="0" xfId="0" applyFill="1" applyAlignment="1">
      <alignment vertical="center"/>
    </xf>
    <xf numFmtId="0" fontId="0" fillId="0" borderId="5" xfId="0" applyBorder="1" applyAlignment="1" applyProtection="1">
      <alignment vertical="center"/>
      <protection locked="0"/>
    </xf>
    <xf numFmtId="0" fontId="12" fillId="0" borderId="32" xfId="0" applyFont="1" applyBorder="1" applyAlignment="1" applyProtection="1">
      <alignment vertical="center"/>
      <protection locked="0"/>
    </xf>
    <xf numFmtId="14" fontId="30" fillId="0" borderId="32" xfId="0" applyNumberFormat="1" applyFont="1" applyBorder="1" applyAlignment="1" applyProtection="1">
      <alignment horizontal="left" vertical="center"/>
      <protection locked="0"/>
    </xf>
    <xf numFmtId="0" fontId="12" fillId="0" borderId="36" xfId="0" applyFont="1" applyBorder="1" applyAlignment="1" applyProtection="1">
      <alignment horizontal="left" vertical="center"/>
      <protection locked="0"/>
    </xf>
    <xf numFmtId="0" fontId="12" fillId="0" borderId="0" xfId="0" applyFont="1" applyAlignment="1" applyProtection="1">
      <alignment vertical="top"/>
      <protection hidden="1"/>
    </xf>
    <xf numFmtId="0" fontId="66" fillId="0" borderId="0" xfId="0" applyFont="1"/>
    <xf numFmtId="0" fontId="2" fillId="0" borderId="0" xfId="0" applyFont="1" applyAlignment="1">
      <alignment horizontal="left" indent="11"/>
    </xf>
    <xf numFmtId="0" fontId="0" fillId="22" borderId="0" xfId="0" applyFill="1" applyProtection="1">
      <protection hidden="1"/>
    </xf>
    <xf numFmtId="0" fontId="0" fillId="0" borderId="5" xfId="0" applyBorder="1" applyAlignment="1" applyProtection="1">
      <alignment horizontal="left" vertical="center"/>
      <protection locked="0"/>
    </xf>
    <xf numFmtId="0" fontId="7" fillId="0" borderId="5" xfId="0" applyFont="1" applyBorder="1" applyAlignment="1">
      <alignment horizontal="center" vertical="center"/>
    </xf>
    <xf numFmtId="0" fontId="9" fillId="0" borderId="0" xfId="0" quotePrefix="1" applyFont="1" applyProtection="1">
      <protection locked="0"/>
    </xf>
    <xf numFmtId="0" fontId="1" fillId="23" borderId="0" xfId="0" applyFont="1" applyFill="1" applyProtection="1">
      <protection hidden="1"/>
    </xf>
    <xf numFmtId="0" fontId="67" fillId="0" borderId="0" xfId="0" applyFont="1" applyAlignment="1" applyProtection="1">
      <alignment horizontal="left" vertical="center" indent="13"/>
      <protection hidden="1"/>
    </xf>
    <xf numFmtId="0" fontId="0" fillId="25" borderId="0" xfId="0" applyFill="1" applyProtection="1">
      <protection hidden="1"/>
    </xf>
    <xf numFmtId="0" fontId="68" fillId="2" borderId="0" xfId="0" applyFont="1" applyFill="1" applyAlignment="1" applyProtection="1">
      <alignment horizontal="center"/>
      <protection hidden="1"/>
    </xf>
    <xf numFmtId="0" fontId="0" fillId="24" borderId="10" xfId="0" applyFill="1" applyBorder="1" applyProtection="1">
      <protection hidden="1"/>
    </xf>
    <xf numFmtId="0" fontId="69" fillId="0" borderId="0" xfId="0" applyFont="1" applyProtection="1">
      <protection hidden="1"/>
    </xf>
    <xf numFmtId="0" fontId="0" fillId="0" borderId="26" xfId="0" applyBorder="1" applyProtection="1">
      <protection hidden="1"/>
    </xf>
    <xf numFmtId="0" fontId="0" fillId="18" borderId="5" xfId="0" applyFill="1" applyBorder="1" applyProtection="1">
      <protection hidden="1"/>
    </xf>
    <xf numFmtId="0" fontId="0" fillId="11" borderId="5" xfId="0" applyFill="1" applyBorder="1" applyProtection="1">
      <protection hidden="1"/>
    </xf>
    <xf numFmtId="0" fontId="0" fillId="0" borderId="26" xfId="0" applyBorder="1" applyAlignment="1" applyProtection="1">
      <alignment horizontal="left"/>
      <protection hidden="1"/>
    </xf>
    <xf numFmtId="0" fontId="25" fillId="0" borderId="0" xfId="0" applyFont="1" applyProtection="1">
      <protection hidden="1"/>
    </xf>
    <xf numFmtId="0" fontId="0" fillId="24" borderId="26" xfId="0" quotePrefix="1" applyFill="1" applyBorder="1" applyProtection="1">
      <protection hidden="1"/>
    </xf>
    <xf numFmtId="0" fontId="70" fillId="4" borderId="26" xfId="0" quotePrefix="1" applyFont="1" applyFill="1" applyBorder="1" applyProtection="1">
      <protection hidden="1"/>
    </xf>
    <xf numFmtId="49" fontId="12" fillId="0" borderId="2" xfId="0" quotePrefix="1" applyNumberFormat="1" applyFont="1" applyBorder="1" applyAlignment="1" applyProtection="1">
      <alignment vertical="center"/>
      <protection locked="0"/>
    </xf>
    <xf numFmtId="0" fontId="22" fillId="0" borderId="0" xfId="0" quotePrefix="1" applyFont="1"/>
    <xf numFmtId="0" fontId="10" fillId="0" borderId="0" xfId="0" applyFont="1" applyAlignment="1" applyProtection="1">
      <alignment vertical="center"/>
      <protection hidden="1"/>
    </xf>
    <xf numFmtId="0" fontId="12" fillId="0" borderId="5" xfId="0" applyFont="1" applyBorder="1" applyAlignment="1" applyProtection="1">
      <alignment horizontal="center" vertical="center"/>
      <protection hidden="1"/>
    </xf>
    <xf numFmtId="0" fontId="12" fillId="0" borderId="5" xfId="0" applyFont="1" applyBorder="1" applyAlignment="1" applyProtection="1">
      <alignment horizontal="left" vertical="center" indent="1"/>
      <protection hidden="1"/>
    </xf>
    <xf numFmtId="0" fontId="71" fillId="0" borderId="5" xfId="1" applyBorder="1" applyAlignment="1" applyProtection="1">
      <alignment horizontal="left" vertical="center" indent="1"/>
      <protection locked="0"/>
    </xf>
    <xf numFmtId="0" fontId="12" fillId="0" borderId="5" xfId="0" applyFont="1" applyBorder="1" applyAlignment="1" applyProtection="1">
      <alignment horizontal="left" vertical="center" indent="1"/>
      <protection locked="0"/>
    </xf>
    <xf numFmtId="0" fontId="28" fillId="0" borderId="0" xfId="0" applyFont="1" applyAlignment="1" applyProtection="1">
      <alignment horizontal="right" vertical="center" indent="1"/>
      <protection hidden="1"/>
    </xf>
    <xf numFmtId="0" fontId="72" fillId="11" borderId="5" xfId="0" applyFont="1" applyFill="1" applyBorder="1" applyAlignment="1" applyProtection="1">
      <alignment horizontal="right" vertical="center" indent="1"/>
      <protection hidden="1"/>
    </xf>
    <xf numFmtId="164" fontId="30" fillId="0" borderId="0" xfId="0" applyNumberFormat="1" applyFont="1" applyAlignment="1" applyProtection="1">
      <alignment horizontal="left" vertical="center" indent="2"/>
      <protection hidden="1"/>
    </xf>
    <xf numFmtId="0" fontId="53" fillId="17" borderId="24" xfId="0" applyFont="1" applyFill="1" applyBorder="1" applyAlignment="1" applyProtection="1">
      <alignment horizontal="center" vertical="center"/>
      <protection locked="0" hidden="1"/>
    </xf>
    <xf numFmtId="0" fontId="73" fillId="0" borderId="5" xfId="0" quotePrefix="1" applyFont="1" applyBorder="1" applyAlignment="1" applyProtection="1">
      <alignment horizontal="left" vertical="center"/>
      <protection hidden="1"/>
    </xf>
    <xf numFmtId="0" fontId="74" fillId="0" borderId="23" xfId="0" applyFont="1" applyBorder="1" applyAlignment="1" applyProtection="1">
      <alignment horizontal="center"/>
      <protection hidden="1"/>
    </xf>
    <xf numFmtId="14" fontId="1" fillId="0" borderId="0" xfId="0" applyNumberFormat="1" applyFont="1" applyAlignment="1" applyProtection="1">
      <alignment horizontal="right"/>
      <protection hidden="1"/>
    </xf>
    <xf numFmtId="0" fontId="10" fillId="8" borderId="40" xfId="0" applyFont="1" applyFill="1" applyBorder="1" applyAlignment="1" applyProtection="1">
      <alignment horizontal="center" vertical="center"/>
      <protection hidden="1"/>
    </xf>
    <xf numFmtId="0" fontId="10" fillId="8" borderId="5" xfId="0" applyFont="1" applyFill="1" applyBorder="1" applyAlignment="1" applyProtection="1">
      <alignment horizontal="center" vertical="center"/>
      <protection hidden="1"/>
    </xf>
    <xf numFmtId="0" fontId="1" fillId="0" borderId="0" xfId="0" applyFont="1" applyAlignment="1">
      <alignment horizontal="right" vertical="center"/>
    </xf>
    <xf numFmtId="0" fontId="71" fillId="0" borderId="0" xfId="1" applyAlignment="1">
      <alignment horizontal="right" vertical="center"/>
    </xf>
    <xf numFmtId="0" fontId="71" fillId="0" borderId="23" xfId="1" applyBorder="1" applyAlignment="1">
      <alignment horizontal="right" vertical="center" indent="1"/>
    </xf>
    <xf numFmtId="0" fontId="16" fillId="0" borderId="0" xfId="0" applyFont="1" applyAlignment="1" applyProtection="1">
      <alignment vertical="center"/>
      <protection hidden="1"/>
    </xf>
    <xf numFmtId="0" fontId="78" fillId="0" borderId="0" xfId="0" applyFont="1" applyAlignment="1" applyProtection="1">
      <alignment vertical="center"/>
      <protection hidden="1"/>
    </xf>
    <xf numFmtId="0" fontId="79" fillId="15" borderId="23" xfId="1" applyFont="1" applyFill="1" applyBorder="1" applyAlignment="1">
      <alignment horizontal="center" vertical="center"/>
    </xf>
    <xf numFmtId="0" fontId="80" fillId="0" borderId="0" xfId="0" applyFont="1" applyProtection="1">
      <protection hidden="1"/>
    </xf>
    <xf numFmtId="0" fontId="80" fillId="21" borderId="7" xfId="0" applyFont="1" applyFill="1" applyBorder="1" applyProtection="1">
      <protection hidden="1"/>
    </xf>
    <xf numFmtId="0" fontId="81" fillId="21" borderId="23" xfId="1" applyFont="1" applyFill="1" applyBorder="1" applyAlignment="1">
      <alignment horizontal="center" vertical="center"/>
    </xf>
    <xf numFmtId="0" fontId="45" fillId="0" borderId="0" xfId="0" applyFont="1" applyProtection="1">
      <protection locked="0"/>
    </xf>
    <xf numFmtId="0" fontId="9" fillId="0" borderId="0" xfId="0" applyFont="1" applyAlignment="1" applyProtection="1">
      <alignment horizontal="right" indent="1"/>
      <protection hidden="1"/>
    </xf>
    <xf numFmtId="0" fontId="9" fillId="0" borderId="0" xfId="0" applyFont="1" applyProtection="1">
      <protection locked="0"/>
    </xf>
    <xf numFmtId="0" fontId="3" fillId="16" borderId="0" xfId="0" applyFont="1" applyFill="1" applyProtection="1">
      <protection hidden="1"/>
    </xf>
    <xf numFmtId="0" fontId="48" fillId="16" borderId="0" xfId="0" applyFont="1" applyFill="1" applyAlignment="1" applyProtection="1">
      <alignment vertical="center"/>
      <protection hidden="1"/>
    </xf>
    <xf numFmtId="0" fontId="77" fillId="11" borderId="23" xfId="1" applyFont="1" applyFill="1" applyBorder="1" applyAlignment="1">
      <alignment horizontal="center" vertical="center"/>
    </xf>
    <xf numFmtId="0" fontId="75" fillId="0" borderId="0" xfId="1" applyFont="1" applyAlignment="1" applyProtection="1">
      <alignment horizontal="right" vertical="center"/>
      <protection locked="0"/>
    </xf>
    <xf numFmtId="0" fontId="76" fillId="15" borderId="23" xfId="1" applyFont="1" applyFill="1" applyBorder="1" applyAlignment="1" applyProtection="1">
      <alignment horizontal="center" vertical="center"/>
      <protection locked="0"/>
    </xf>
    <xf numFmtId="0" fontId="83" fillId="0" borderId="5" xfId="0" applyFont="1" applyBorder="1" applyAlignment="1" applyProtection="1">
      <alignment horizontal="center" vertical="center"/>
      <protection locked="0"/>
    </xf>
    <xf numFmtId="0" fontId="77" fillId="11" borderId="23" xfId="1" applyFont="1" applyFill="1" applyBorder="1" applyAlignment="1" applyProtection="1">
      <alignment horizontal="right" vertical="center"/>
      <protection locked="0"/>
    </xf>
    <xf numFmtId="0" fontId="84" fillId="0" borderId="0" xfId="0" applyFont="1"/>
    <xf numFmtId="0" fontId="85" fillId="0" borderId="0" xfId="0" applyFont="1"/>
    <xf numFmtId="0" fontId="85" fillId="0" borderId="0" xfId="0" applyFont="1" applyAlignment="1">
      <alignment horizontal="center"/>
    </xf>
    <xf numFmtId="164" fontId="85" fillId="0" borderId="0" xfId="0" applyNumberFormat="1" applyFont="1"/>
    <xf numFmtId="0" fontId="86" fillId="0" borderId="0" xfId="0" applyFont="1"/>
    <xf numFmtId="0" fontId="88" fillId="0" borderId="0" xfId="1" applyFont="1"/>
    <xf numFmtId="0" fontId="9" fillId="0" borderId="0" xfId="0" applyFont="1" applyAlignment="1">
      <alignment horizontal="right"/>
    </xf>
    <xf numFmtId="0" fontId="9" fillId="0" borderId="0" xfId="0" applyFont="1" applyAlignment="1" applyProtection="1">
      <alignment horizontal="left" indent="3"/>
      <protection hidden="1"/>
    </xf>
    <xf numFmtId="0" fontId="21" fillId="27" borderId="0" xfId="0" applyFont="1" applyFill="1" applyAlignment="1" applyProtection="1">
      <alignment horizontal="left" indent="1"/>
      <protection hidden="1"/>
    </xf>
    <xf numFmtId="0" fontId="21" fillId="27" borderId="0" xfId="0" applyFont="1" applyFill="1" applyProtection="1">
      <protection hidden="1"/>
    </xf>
    <xf numFmtId="0" fontId="12" fillId="0" borderId="5" xfId="0" applyFont="1" applyBorder="1" applyAlignment="1" applyProtection="1">
      <alignment vertical="center"/>
      <protection locked="0"/>
    </xf>
    <xf numFmtId="0" fontId="12" fillId="0" borderId="3" xfId="0" applyFont="1" applyBorder="1" applyAlignment="1" applyProtection="1">
      <alignment horizontal="left" vertical="center"/>
      <protection locked="0"/>
    </xf>
    <xf numFmtId="0" fontId="12" fillId="0" borderId="2" xfId="0" applyFont="1" applyBorder="1" applyAlignment="1" applyProtection="1">
      <alignment horizontal="left" vertical="center"/>
      <protection locked="0"/>
    </xf>
    <xf numFmtId="0" fontId="12" fillId="0" borderId="1" xfId="0" applyFont="1" applyBorder="1" applyAlignment="1" applyProtection="1">
      <alignment horizontal="left" vertical="center"/>
      <protection locked="0"/>
    </xf>
    <xf numFmtId="0" fontId="61" fillId="19" borderId="34" xfId="0" applyFont="1" applyFill="1" applyBorder="1" applyAlignment="1" applyProtection="1">
      <alignment horizontal="center" vertical="center" wrapText="1"/>
      <protection hidden="1"/>
    </xf>
    <xf numFmtId="0" fontId="61" fillId="19" borderId="35" xfId="0" applyFont="1" applyFill="1" applyBorder="1" applyAlignment="1" applyProtection="1">
      <alignment horizontal="center" vertical="center" wrapText="1"/>
      <protection hidden="1"/>
    </xf>
    <xf numFmtId="0" fontId="64" fillId="19" borderId="33" xfId="0" applyFont="1" applyFill="1" applyBorder="1" applyAlignment="1" applyProtection="1">
      <alignment horizontal="center" vertical="center" wrapText="1"/>
      <protection locked="0"/>
    </xf>
    <xf numFmtId="0" fontId="64" fillId="19" borderId="16" xfId="0" applyFont="1" applyFill="1" applyBorder="1" applyAlignment="1" applyProtection="1">
      <alignment horizontal="center" vertical="center" wrapText="1"/>
      <protection locked="0"/>
    </xf>
    <xf numFmtId="0" fontId="44" fillId="11" borderId="28" xfId="0" applyFont="1" applyFill="1" applyBorder="1" applyAlignment="1" applyProtection="1">
      <alignment horizontal="center" vertical="center"/>
      <protection hidden="1"/>
    </xf>
    <xf numFmtId="0" fontId="44" fillId="11" borderId="29" xfId="0" applyFont="1" applyFill="1" applyBorder="1" applyAlignment="1" applyProtection="1">
      <alignment horizontal="center" vertical="center"/>
      <protection hidden="1"/>
    </xf>
    <xf numFmtId="0" fontId="27" fillId="0" borderId="8" xfId="0" applyFont="1" applyBorder="1" applyAlignment="1" applyProtection="1">
      <alignment horizontal="center" vertical="center"/>
      <protection hidden="1"/>
    </xf>
    <xf numFmtId="0" fontId="27" fillId="0" borderId="9" xfId="0" applyFont="1" applyBorder="1" applyAlignment="1" applyProtection="1">
      <alignment horizontal="center" vertical="center"/>
      <protection hidden="1"/>
    </xf>
    <xf numFmtId="0" fontId="27" fillId="0" borderId="10" xfId="0" applyFont="1" applyBorder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left" vertical="center"/>
      <protection locked="0"/>
    </xf>
    <xf numFmtId="0" fontId="82" fillId="16" borderId="39" xfId="0" applyFont="1" applyFill="1" applyBorder="1" applyAlignment="1" applyProtection="1">
      <alignment horizontal="center" vertical="center"/>
      <protection locked="0"/>
    </xf>
    <xf numFmtId="0" fontId="82" fillId="16" borderId="2" xfId="0" applyFont="1" applyFill="1" applyBorder="1" applyAlignment="1" applyProtection="1">
      <alignment horizontal="center" vertical="center"/>
      <protection locked="0"/>
    </xf>
    <xf numFmtId="0" fontId="82" fillId="16" borderId="7" xfId="0" applyFont="1" applyFill="1" applyBorder="1" applyAlignment="1" applyProtection="1">
      <alignment horizontal="center" vertical="center"/>
      <protection locked="0"/>
    </xf>
    <xf numFmtId="0" fontId="59" fillId="11" borderId="12" xfId="0" applyFont="1" applyFill="1" applyBorder="1" applyAlignment="1" applyProtection="1">
      <alignment horizontal="center" vertical="top" wrapText="1"/>
      <protection locked="0"/>
    </xf>
    <xf numFmtId="0" fontId="59" fillId="11" borderId="13" xfId="0" applyFont="1" applyFill="1" applyBorder="1" applyAlignment="1" applyProtection="1">
      <alignment horizontal="center" vertical="top" wrapText="1"/>
      <protection locked="0"/>
    </xf>
    <xf numFmtId="0" fontId="59" fillId="11" borderId="14" xfId="0" applyFont="1" applyFill="1" applyBorder="1" applyAlignment="1" applyProtection="1">
      <alignment horizontal="center" vertical="top" wrapText="1"/>
      <protection locked="0"/>
    </xf>
    <xf numFmtId="0" fontId="59" fillId="11" borderId="15" xfId="0" applyFont="1" applyFill="1" applyBorder="1" applyAlignment="1" applyProtection="1">
      <alignment horizontal="center" vertical="top" wrapText="1"/>
      <protection locked="0"/>
    </xf>
    <xf numFmtId="0" fontId="59" fillId="11" borderId="30" xfId="0" applyFont="1" applyFill="1" applyBorder="1" applyAlignment="1" applyProtection="1">
      <alignment horizontal="center" vertical="top" wrapText="1"/>
      <protection locked="0"/>
    </xf>
    <xf numFmtId="0" fontId="59" fillId="11" borderId="31" xfId="0" applyFont="1" applyFill="1" applyBorder="1" applyAlignment="1" applyProtection="1">
      <alignment horizontal="center" vertical="top" wrapText="1"/>
      <protection locked="0"/>
    </xf>
    <xf numFmtId="0" fontId="33" fillId="19" borderId="37" xfId="0" applyFont="1" applyFill="1" applyBorder="1" applyAlignment="1" applyProtection="1">
      <alignment horizontal="center" vertical="top" wrapText="1"/>
      <protection hidden="1"/>
    </xf>
    <xf numFmtId="0" fontId="33" fillId="19" borderId="36" xfId="0" applyFont="1" applyFill="1" applyBorder="1" applyAlignment="1" applyProtection="1">
      <alignment horizontal="center" vertical="top" wrapText="1"/>
      <protection hidden="1"/>
    </xf>
    <xf numFmtId="0" fontId="19" fillId="2" borderId="28" xfId="0" applyFont="1" applyFill="1" applyBorder="1" applyAlignment="1" applyProtection="1">
      <alignment horizontal="center" vertical="center"/>
      <protection hidden="1"/>
    </xf>
    <xf numFmtId="0" fontId="19" fillId="2" borderId="29" xfId="0" applyFont="1" applyFill="1" applyBorder="1" applyAlignment="1" applyProtection="1">
      <alignment horizontal="center" vertical="center"/>
      <protection hidden="1"/>
    </xf>
    <xf numFmtId="0" fontId="19" fillId="2" borderId="6" xfId="0" applyFont="1" applyFill="1" applyBorder="1" applyAlignment="1" applyProtection="1">
      <alignment horizontal="center" vertical="center"/>
      <protection hidden="1"/>
    </xf>
    <xf numFmtId="0" fontId="19" fillId="2" borderId="27" xfId="0" applyFont="1" applyFill="1" applyBorder="1" applyAlignment="1" applyProtection="1">
      <alignment horizontal="center" vertical="center"/>
      <protection hidden="1"/>
    </xf>
    <xf numFmtId="0" fontId="60" fillId="19" borderId="34" xfId="0" applyFont="1" applyFill="1" applyBorder="1" applyAlignment="1" applyProtection="1">
      <alignment horizontal="center" vertical="top" wrapText="1"/>
      <protection hidden="1"/>
    </xf>
    <xf numFmtId="0" fontId="60" fillId="19" borderId="35" xfId="0" applyFont="1" applyFill="1" applyBorder="1" applyAlignment="1" applyProtection="1">
      <alignment horizontal="center" vertical="top" wrapText="1"/>
      <protection hidden="1"/>
    </xf>
    <xf numFmtId="0" fontId="19" fillId="2" borderId="0" xfId="0" applyFont="1" applyFill="1" applyAlignment="1" applyProtection="1">
      <alignment horizontal="center" vertical="center"/>
      <protection hidden="1"/>
    </xf>
    <xf numFmtId="0" fontId="12" fillId="11" borderId="2" xfId="0" applyFont="1" applyFill="1" applyBorder="1" applyAlignment="1" applyProtection="1">
      <alignment horizontal="center" vertical="center"/>
      <protection hidden="1"/>
    </xf>
    <xf numFmtId="0" fontId="12" fillId="11" borderId="7" xfId="0" applyFont="1" applyFill="1" applyBorder="1" applyAlignment="1" applyProtection="1">
      <alignment horizontal="center" vertical="center"/>
      <protection hidden="1"/>
    </xf>
    <xf numFmtId="0" fontId="12" fillId="0" borderId="2" xfId="0" applyFont="1" applyBorder="1" applyAlignment="1" applyProtection="1">
      <alignment horizontal="left" vertical="center"/>
      <protection hidden="1"/>
    </xf>
    <xf numFmtId="0" fontId="91" fillId="26" borderId="39" xfId="0" applyFont="1" applyFill="1" applyBorder="1" applyAlignment="1" applyProtection="1">
      <alignment horizontal="center" vertical="center"/>
      <protection hidden="1"/>
    </xf>
    <xf numFmtId="0" fontId="92" fillId="26" borderId="2" xfId="0" applyFont="1" applyFill="1" applyBorder="1" applyAlignment="1" applyProtection="1">
      <alignment horizontal="center" vertical="center"/>
      <protection hidden="1"/>
    </xf>
    <xf numFmtId="0" fontId="13" fillId="12" borderId="6" xfId="0" applyFont="1" applyFill="1" applyBorder="1" applyAlignment="1" applyProtection="1">
      <alignment horizontal="center" vertical="center"/>
      <protection hidden="1"/>
    </xf>
    <xf numFmtId="0" fontId="13" fillId="12" borderId="18" xfId="0" applyFont="1" applyFill="1" applyBorder="1" applyAlignment="1" applyProtection="1">
      <alignment horizontal="center" vertical="center"/>
      <protection hidden="1"/>
    </xf>
    <xf numFmtId="164" fontId="85" fillId="0" borderId="0" xfId="0" applyNumberFormat="1" applyFont="1" applyAlignment="1">
      <alignment horizontal="left"/>
    </xf>
    <xf numFmtId="0" fontId="2" fillId="9" borderId="0" xfId="0" applyFont="1" applyFill="1" applyAlignment="1">
      <alignment horizontal="left" vertical="center" indent="4"/>
    </xf>
    <xf numFmtId="0" fontId="76" fillId="0" borderId="28" xfId="1" applyFont="1" applyBorder="1" applyAlignment="1">
      <alignment horizontal="center" vertical="center"/>
    </xf>
    <xf numFmtId="0" fontId="76" fillId="0" borderId="29" xfId="1" applyFont="1" applyBorder="1" applyAlignment="1">
      <alignment horizontal="center" vertical="center"/>
    </xf>
    <xf numFmtId="0" fontId="9" fillId="0" borderId="1" xfId="0" applyFont="1" applyBorder="1" applyAlignment="1">
      <alignment horizontal="left"/>
    </xf>
    <xf numFmtId="164" fontId="87" fillId="0" borderId="0" xfId="0" applyNumberFormat="1" applyFont="1" applyAlignment="1">
      <alignment horizontal="left" indent="1"/>
    </xf>
    <xf numFmtId="0" fontId="3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0" fontId="21" fillId="0" borderId="0" xfId="0" applyFont="1" applyAlignment="1">
      <alignment horizontal="left" wrapText="1"/>
    </xf>
    <xf numFmtId="0" fontId="77" fillId="11" borderId="28" xfId="1" applyFont="1" applyFill="1" applyBorder="1" applyAlignment="1">
      <alignment horizontal="center" vertical="center"/>
    </xf>
    <xf numFmtId="0" fontId="77" fillId="11" borderId="29" xfId="1" applyFont="1" applyFill="1" applyBorder="1" applyAlignment="1">
      <alignment horizontal="center" vertical="center"/>
    </xf>
    <xf numFmtId="0" fontId="7" fillId="0" borderId="0" xfId="0" applyFont="1" applyAlignment="1" applyProtection="1">
      <alignment horizontal="justify" wrapText="1"/>
      <protection hidden="1"/>
    </xf>
    <xf numFmtId="0" fontId="7" fillId="0" borderId="0" xfId="0" applyFont="1" applyProtection="1">
      <protection hidden="1"/>
    </xf>
    <xf numFmtId="0" fontId="15" fillId="0" borderId="0" xfId="0" applyFont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3" fillId="0" borderId="0" xfId="0" applyFont="1" applyAlignment="1" applyProtection="1">
      <alignment horizontal="right"/>
      <protection hidden="1"/>
    </xf>
    <xf numFmtId="0" fontId="6" fillId="0" borderId="0" xfId="0" applyFont="1" applyAlignment="1" applyProtection="1">
      <alignment horizontal="right"/>
      <protection hidden="1"/>
    </xf>
    <xf numFmtId="0" fontId="41" fillId="0" borderId="0" xfId="0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justify" wrapText="1"/>
      <protection hidden="1"/>
    </xf>
    <xf numFmtId="0" fontId="1" fillId="11" borderId="5" xfId="0" applyFont="1" applyFill="1" applyBorder="1" applyAlignment="1" applyProtection="1">
      <alignment horizontal="center" vertical="center"/>
      <protection hidden="1"/>
    </xf>
    <xf numFmtId="0" fontId="46" fillId="0" borderId="0" xfId="0" applyFont="1" applyAlignment="1" applyProtection="1">
      <alignment horizontal="right"/>
      <protection hidden="1"/>
    </xf>
    <xf numFmtId="0" fontId="47" fillId="0" borderId="0" xfId="0" applyFont="1" applyAlignment="1" applyProtection="1">
      <alignment horizontal="right"/>
      <protection hidden="1"/>
    </xf>
    <xf numFmtId="0" fontId="1" fillId="0" borderId="0" xfId="0" applyFont="1" applyAlignment="1" applyProtection="1">
      <alignment horizontal="right"/>
      <protection hidden="1"/>
    </xf>
    <xf numFmtId="0" fontId="90" fillId="0" borderId="0" xfId="0" applyFont="1" applyAlignment="1" applyProtection="1">
      <alignment horizontal="center" vertical="center"/>
      <protection hidden="1"/>
    </xf>
    <xf numFmtId="0" fontId="21" fillId="0" borderId="0" xfId="0" applyFont="1" applyAlignment="1" applyProtection="1">
      <alignment horizontal="justify" vertical="center" wrapText="1"/>
      <protection hidden="1"/>
    </xf>
    <xf numFmtId="0" fontId="0" fillId="0" borderId="0" xfId="0" applyAlignment="1" applyProtection="1">
      <alignment horizontal="center"/>
      <protection hidden="1"/>
    </xf>
    <xf numFmtId="0" fontId="56" fillId="0" borderId="0" xfId="0" applyFont="1" applyAlignment="1" applyProtection="1">
      <alignment horizontal="justify" wrapText="1"/>
      <protection hidden="1"/>
    </xf>
    <xf numFmtId="0" fontId="6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55" fillId="0" borderId="0" xfId="0" applyFont="1" applyAlignment="1" applyProtection="1">
      <alignment horizontal="center"/>
      <protection hidden="1"/>
    </xf>
    <xf numFmtId="0" fontId="39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1" fillId="0" borderId="0" xfId="0" applyFont="1" applyAlignment="1">
      <alignment horizontal="left"/>
    </xf>
    <xf numFmtId="164" fontId="21" fillId="0" borderId="0" xfId="0" applyNumberFormat="1" applyFont="1" applyAlignment="1">
      <alignment horizontal="left" vertical="center" indent="2"/>
    </xf>
    <xf numFmtId="164" fontId="1" fillId="0" borderId="0" xfId="0" applyNumberFormat="1" applyFont="1" applyAlignment="1" applyProtection="1">
      <alignment horizontal="left" vertical="center" indent="5"/>
      <protection locked="0"/>
    </xf>
    <xf numFmtId="0" fontId="1" fillId="0" borderId="0" xfId="0" applyFont="1" applyAlignment="1" applyProtection="1">
      <alignment horizontal="left"/>
      <protection locked="0"/>
    </xf>
    <xf numFmtId="0" fontId="1" fillId="0" borderId="0" xfId="0" applyFont="1" applyAlignment="1">
      <alignment horizontal="left" vertical="top" indent="5"/>
    </xf>
    <xf numFmtId="0" fontId="21" fillId="0" borderId="0" xfId="0" applyFont="1" applyAlignment="1">
      <alignment horizontal="justify" vertical="top" wrapText="1"/>
    </xf>
    <xf numFmtId="0" fontId="22" fillId="0" borderId="0" xfId="0" applyFont="1" applyAlignment="1">
      <alignment horizontal="left"/>
    </xf>
    <xf numFmtId="0" fontId="65" fillId="11" borderId="28" xfId="0" applyFont="1" applyFill="1" applyBorder="1" applyAlignment="1">
      <alignment horizontal="center" vertical="center"/>
    </xf>
    <xf numFmtId="0" fontId="65" fillId="11" borderId="38" xfId="0" applyFont="1" applyFill="1" applyBorder="1" applyAlignment="1">
      <alignment horizontal="center" vertical="center"/>
    </xf>
    <xf numFmtId="0" fontId="65" fillId="11" borderId="29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7" fillId="21" borderId="39" xfId="0" applyFont="1" applyFill="1" applyBorder="1" applyAlignment="1" applyProtection="1">
      <alignment horizontal="left" vertical="center"/>
      <protection hidden="1"/>
    </xf>
    <xf numFmtId="0" fontId="17" fillId="21" borderId="2" xfId="0" applyFont="1" applyFill="1" applyBorder="1" applyAlignment="1" applyProtection="1">
      <alignment horizontal="left" vertical="center"/>
      <protection hidden="1"/>
    </xf>
    <xf numFmtId="0" fontId="7" fillId="0" borderId="0" xfId="0" quotePrefix="1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44" fillId="0" borderId="0" xfId="0" applyFont="1" applyAlignment="1" applyProtection="1">
      <alignment horizontal="center" vertical="center"/>
      <protection hidden="1"/>
    </xf>
    <xf numFmtId="164" fontId="9" fillId="0" borderId="0" xfId="0" applyNumberFormat="1" applyFont="1" applyAlignment="1" applyProtection="1">
      <alignment horizontal="left" indent="1"/>
      <protection hidden="1"/>
    </xf>
    <xf numFmtId="164" fontId="9" fillId="0" borderId="0" xfId="0" applyNumberFormat="1" applyFont="1" applyAlignment="1" applyProtection="1">
      <alignment horizontal="left"/>
      <protection hidden="1"/>
    </xf>
    <xf numFmtId="0" fontId="89" fillId="0" borderId="0" xfId="0" applyFont="1" applyAlignment="1" applyProtection="1">
      <alignment horizontal="center" vertical="center"/>
      <protection hidden="1"/>
    </xf>
    <xf numFmtId="0" fontId="8" fillId="8" borderId="5" xfId="0" applyFont="1" applyFill="1" applyBorder="1" applyAlignment="1">
      <alignment horizontal="left" vertical="center"/>
    </xf>
    <xf numFmtId="0" fontId="62" fillId="21" borderId="4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ISIAN DATA'!Print_Area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ISIAN DATA'!Print_Area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467590</xdr:colOff>
      <xdr:row>0</xdr:row>
      <xdr:rowOff>25977</xdr:rowOff>
    </xdr:from>
    <xdr:to>
      <xdr:col>7</xdr:col>
      <xdr:colOff>1749135</xdr:colOff>
      <xdr:row>0</xdr:row>
      <xdr:rowOff>311727</xdr:rowOff>
    </xdr:to>
    <xdr:sp macro="" textlink="">
      <xdr:nvSpPr>
        <xdr:cNvPr id="2" name="Rectangle: Rounded Corners 1">
          <a:hlinkClick xmlns:r="http://schemas.openxmlformats.org/officeDocument/2006/relationships" r:id="rId1" tooltip="Ke Menu Isian Data"/>
          <a:extLst>
            <a:ext uri="{FF2B5EF4-FFF2-40B4-BE49-F238E27FC236}">
              <a16:creationId xmlns:a16="http://schemas.microsoft.com/office/drawing/2014/main" xmlns="" id="{83ED070E-75F0-5293-1BBC-DDB152147B62}"/>
            </a:ext>
          </a:extLst>
        </xdr:cNvPr>
        <xdr:cNvSpPr/>
      </xdr:nvSpPr>
      <xdr:spPr>
        <a:xfrm>
          <a:off x="5697681" y="25977"/>
          <a:ext cx="1281545" cy="285750"/>
        </a:xfrm>
        <a:prstGeom prst="roundRect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>
          <a:innerShdw blurRad="63500" dist="50800" dir="13500000">
            <a:prstClr val="black">
              <a:alpha val="50000"/>
            </a:prstClr>
          </a:inn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100" b="1"/>
            <a:t>Menu Utama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259773</xdr:colOff>
      <xdr:row>0</xdr:row>
      <xdr:rowOff>51954</xdr:rowOff>
    </xdr:from>
    <xdr:to>
      <xdr:col>7</xdr:col>
      <xdr:colOff>476249</xdr:colOff>
      <xdr:row>0</xdr:row>
      <xdr:rowOff>337704</xdr:rowOff>
    </xdr:to>
    <xdr:sp macro="" textlink="">
      <xdr:nvSpPr>
        <xdr:cNvPr id="2" name="Rectangle: Rounded Corners 1">
          <a:hlinkClick xmlns:r="http://schemas.openxmlformats.org/officeDocument/2006/relationships" r:id="rId1" tooltip="Ke Menu Isian Data"/>
          <a:extLst>
            <a:ext uri="{FF2B5EF4-FFF2-40B4-BE49-F238E27FC236}">
              <a16:creationId xmlns:a16="http://schemas.microsoft.com/office/drawing/2014/main" xmlns="" id="{CDE2B77B-CAEE-4CEB-8740-07ACCD27BDC6}"/>
            </a:ext>
          </a:extLst>
        </xdr:cNvPr>
        <xdr:cNvSpPr>
          <a:spLocks noChangeAspect="1"/>
        </xdr:cNvSpPr>
      </xdr:nvSpPr>
      <xdr:spPr>
        <a:xfrm>
          <a:off x="4675909" y="51954"/>
          <a:ext cx="1281545" cy="285750"/>
        </a:xfrm>
        <a:prstGeom prst="roundRect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>
          <a:innerShdw blurRad="63500" dist="50800" dir="13500000">
            <a:prstClr val="black">
              <a:alpha val="50000"/>
            </a:prstClr>
          </a:inn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100" b="1"/>
            <a:t>Menu Utama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114801</xdr:colOff>
      <xdr:row>1</xdr:row>
      <xdr:rowOff>130341</xdr:rowOff>
    </xdr:from>
    <xdr:to>
      <xdr:col>6</xdr:col>
      <xdr:colOff>619625</xdr:colOff>
      <xdr:row>4</xdr:row>
      <xdr:rowOff>139865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1780BD43-F0F2-4775-8C6E-3B67AB7DBC4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3275" y="310815"/>
          <a:ext cx="504824" cy="5509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114801</xdr:colOff>
      <xdr:row>1</xdr:row>
      <xdr:rowOff>130341</xdr:rowOff>
    </xdr:from>
    <xdr:to>
      <xdr:col>6</xdr:col>
      <xdr:colOff>619625</xdr:colOff>
      <xdr:row>4</xdr:row>
      <xdr:rowOff>139865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3E82DC2F-B627-4702-8941-6A77574B141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38976" y="339891"/>
          <a:ext cx="504824" cy="55244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650632</xdr:colOff>
      <xdr:row>2</xdr:row>
      <xdr:rowOff>95251</xdr:rowOff>
    </xdr:from>
    <xdr:to>
      <xdr:col>3</xdr:col>
      <xdr:colOff>1296866</xdr:colOff>
      <xdr:row>2</xdr:row>
      <xdr:rowOff>805963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6D6EB8EC-A5F4-442B-BC71-07B56800275B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-14000" contrast="26000"/>
        </a:blip>
        <a:srcRect/>
        <a:stretch>
          <a:fillRect/>
        </a:stretch>
      </xdr:blipFill>
      <xdr:spPr bwMode="auto">
        <a:xfrm>
          <a:off x="3478824" y="381001"/>
          <a:ext cx="646234" cy="710712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73879</xdr:colOff>
      <xdr:row>4</xdr:row>
      <xdr:rowOff>31993</xdr:rowOff>
    </xdr:from>
    <xdr:to>
      <xdr:col>4</xdr:col>
      <xdr:colOff>658091</xdr:colOff>
      <xdr:row>4</xdr:row>
      <xdr:rowOff>701386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6C0FB257-CB7E-4C37-B5C2-950C07C6A3F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3334" y="534220"/>
          <a:ext cx="584212" cy="669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___________________________@gmail.com%20-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7030A0"/>
  </sheetPr>
  <dimension ref="A1:P201"/>
  <sheetViews>
    <sheetView tabSelected="1" topLeftCell="B1" zoomScaleNormal="100" zoomScaleSheetLayoutView="130" workbookViewId="0">
      <pane ySplit="12" topLeftCell="A79" activePane="bottomLeft" state="frozen"/>
      <selection pane="bottomLeft" activeCell="C79" sqref="C79"/>
    </sheetView>
  </sheetViews>
  <sheetFormatPr defaultColWidth="0" defaultRowHeight="15.75" zeroHeight="1"/>
  <cols>
    <col min="1" max="1" width="2.42578125" style="34" customWidth="1"/>
    <col min="2" max="2" width="28.28515625" style="35" customWidth="1"/>
    <col min="3" max="3" width="46" style="35" customWidth="1"/>
    <col min="4" max="4" width="19.85546875" style="35" customWidth="1"/>
    <col min="5" max="5" width="21.85546875" style="35" customWidth="1"/>
    <col min="6" max="6" width="2.42578125" style="34" customWidth="1"/>
    <col min="7" max="7" width="14.7109375" style="35" hidden="1" customWidth="1"/>
    <col min="8" max="8" width="42.42578125" style="35" hidden="1" customWidth="1"/>
    <col min="9" max="9" width="49.28515625" style="35" hidden="1" customWidth="1"/>
    <col min="10" max="10" width="39.85546875" style="35" hidden="1" customWidth="1"/>
    <col min="11" max="11" width="5.28515625" style="35" hidden="1" customWidth="1"/>
    <col min="12" max="12" width="2" style="35" customWidth="1"/>
    <col min="13" max="14" width="22" style="35" customWidth="1"/>
    <col min="15" max="15" width="20.5703125" style="35" customWidth="1"/>
    <col min="16" max="16" width="1.140625" style="35" customWidth="1"/>
    <col min="17" max="16384" width="9.140625" style="35" hidden="1"/>
  </cols>
  <sheetData>
    <row r="1" spans="1:15" ht="12" customHeight="1" thickBot="1">
      <c r="A1" s="47"/>
      <c r="B1" s="49"/>
      <c r="C1" s="49"/>
      <c r="D1" s="49"/>
      <c r="E1" s="49"/>
      <c r="F1" s="47"/>
    </row>
    <row r="2" spans="1:15" ht="29.25" customHeight="1" thickBot="1">
      <c r="A2" s="47"/>
      <c r="B2" s="243" t="s">
        <v>140</v>
      </c>
      <c r="C2" s="244"/>
      <c r="D2" s="245"/>
      <c r="F2" s="47"/>
      <c r="H2" s="118" t="s">
        <v>299</v>
      </c>
      <c r="M2" s="241" t="s">
        <v>388</v>
      </c>
      <c r="N2" s="242"/>
    </row>
    <row r="3" spans="1:15" ht="18" customHeight="1" thickTop="1">
      <c r="A3" s="47"/>
      <c r="B3" s="51" t="s">
        <v>141</v>
      </c>
      <c r="C3" s="29" t="s">
        <v>387</v>
      </c>
      <c r="D3" s="250" t="s">
        <v>267</v>
      </c>
      <c r="E3" s="251"/>
      <c r="F3" s="47"/>
      <c r="H3" s="35" t="str">
        <f>UPPER(C3)</f>
        <v>TAMBI</v>
      </c>
      <c r="I3" s="34">
        <f>C9-C8</f>
        <v>42</v>
      </c>
      <c r="M3" s="202" t="s">
        <v>409</v>
      </c>
      <c r="N3" s="202" t="s">
        <v>410</v>
      </c>
      <c r="O3" s="203" t="s">
        <v>397</v>
      </c>
    </row>
    <row r="4" spans="1:15" ht="18" customHeight="1">
      <c r="A4" s="47"/>
      <c r="B4" s="197" t="s">
        <v>403</v>
      </c>
      <c r="C4" s="29" t="s">
        <v>142</v>
      </c>
      <c r="D4" s="252"/>
      <c r="E4" s="253"/>
      <c r="F4" s="47"/>
      <c r="K4" s="34">
        <f>I14</f>
        <v>1</v>
      </c>
      <c r="M4" s="193" t="s">
        <v>392</v>
      </c>
      <c r="N4" s="193" t="s">
        <v>389</v>
      </c>
      <c r="O4" s="192" t="str">
        <f>IF(K4=1,"Cetak","Tidak Cetak")</f>
        <v>Cetak</v>
      </c>
    </row>
    <row r="5" spans="1:15" ht="18" customHeight="1">
      <c r="A5" s="47"/>
      <c r="B5" s="197" t="s">
        <v>131</v>
      </c>
      <c r="C5" s="29" t="s">
        <v>453</v>
      </c>
      <c r="D5" s="252"/>
      <c r="E5" s="253"/>
      <c r="F5" s="47"/>
      <c r="H5" s="35" t="str">
        <f>C5</f>
        <v>J U R I</v>
      </c>
      <c r="J5" s="35" t="str">
        <f>IF(I7="7","VII",IF(I7="8","VIII",IF(I7="9","IX",IF(I7="10","X",IF(I7="11","XI","XII")))))</f>
        <v>X</v>
      </c>
      <c r="K5" s="34">
        <f>I42</f>
        <v>1</v>
      </c>
      <c r="M5" s="193" t="s">
        <v>391</v>
      </c>
      <c r="N5" s="193" t="s">
        <v>390</v>
      </c>
      <c r="O5" s="192" t="str">
        <f>IF(K5=1,"Cetak","Tidak Cetak")</f>
        <v>Cetak</v>
      </c>
    </row>
    <row r="6" spans="1:15" ht="18" customHeight="1" thickBot="1">
      <c r="A6" s="47"/>
      <c r="B6" s="52" t="s">
        <v>402</v>
      </c>
      <c r="C6" s="53" t="s">
        <v>452</v>
      </c>
      <c r="D6" s="254"/>
      <c r="E6" s="255"/>
      <c r="F6" s="47"/>
      <c r="H6" s="35" t="str">
        <f>C6</f>
        <v>Chalim Muchtarom, S.Pd.I</v>
      </c>
      <c r="K6" s="191" t="e">
        <f ca="1">'N5'!J5</f>
        <v>#NAME?</v>
      </c>
      <c r="M6" s="193" t="s">
        <v>395</v>
      </c>
      <c r="N6" s="193" t="s">
        <v>398</v>
      </c>
      <c r="O6" s="192" t="e" cm="1">
        <f t="array" aca="1" ref="O6" ca="1">_xlfn.IFS(K6=1,"Calon Suami",K6=2,"Calon Istri",K6=3,"Keduanya",K6=0,"Tidak Cetak")</f>
        <v>#NAME?</v>
      </c>
    </row>
    <row r="7" spans="1:15" ht="18" customHeight="1" thickTop="1">
      <c r="A7" s="47" t="s">
        <v>97</v>
      </c>
      <c r="B7" s="50" t="s">
        <v>404</v>
      </c>
      <c r="C7" s="167">
        <v>19</v>
      </c>
      <c r="D7" s="256"/>
      <c r="E7" s="257"/>
      <c r="F7" s="47"/>
      <c r="G7" s="36"/>
      <c r="H7" s="35" t="str">
        <f>"400.12.3.2/"&amp;C7&amp;J8</f>
        <v>400.12.3.2/19/X/2026</v>
      </c>
      <c r="I7" s="35" t="str">
        <f>TEXT(C8,"M")</f>
        <v>10</v>
      </c>
      <c r="J7" s="35" t="str">
        <f>IF(I7="1","I",IF(I7="2","II",IF(I7="3","III",IF(I7="4","IV",IF(I7="5","V",IF(I7="6","VI",J5))))))</f>
        <v>X</v>
      </c>
      <c r="K7" s="34">
        <f>IF(H73="AYAH KANDUNG",0,1)</f>
        <v>0</v>
      </c>
      <c r="M7" s="193" t="s">
        <v>396</v>
      </c>
      <c r="N7" s="193" t="s">
        <v>393</v>
      </c>
      <c r="O7" s="192" t="str">
        <f>IF(K7=1,"Cetak","Tidak Cetak")</f>
        <v>Tidak Cetak</v>
      </c>
    </row>
    <row r="8" spans="1:15" ht="18" customHeight="1">
      <c r="A8" s="47"/>
      <c r="B8" s="50" t="s">
        <v>98</v>
      </c>
      <c r="C8" s="166">
        <v>46303</v>
      </c>
      <c r="D8" s="237" t="str">
        <f>IF(I3&lt;1,"Salah Input Tanggal!","Betul!")</f>
        <v>Betul!</v>
      </c>
      <c r="E8" s="238"/>
      <c r="F8" s="47"/>
      <c r="G8" s="37"/>
      <c r="H8" s="35" t="str">
        <f>PROPER(C3)&amp;", "&amp;(TEXT(C8,"DD MMMM YYYY"))</f>
        <v>Tambi, 08 Oktober 2026</v>
      </c>
      <c r="J8" s="35" t="str">
        <f>"/"&amp;J7&amp;"/"&amp;RIGHT(H9,4)</f>
        <v>/X/2026</v>
      </c>
      <c r="K8" s="34" t="e">
        <f ca="1">I73</f>
        <v>#NAME?</v>
      </c>
      <c r="M8" s="194"/>
      <c r="N8" s="193" t="s">
        <v>394</v>
      </c>
      <c r="O8" s="192" t="e">
        <f ca="1">IF(K8&gt;0,"Cetak","Tidak Cetak")</f>
        <v>#NAME?</v>
      </c>
    </row>
    <row r="9" spans="1:15" ht="18" customHeight="1">
      <c r="A9" s="47"/>
      <c r="B9" s="50" t="s">
        <v>99</v>
      </c>
      <c r="C9" s="166">
        <v>46345</v>
      </c>
      <c r="D9" s="262" t="str">
        <f>IF(I3&lt;1,"",IF(I3&lt;14,"Perlu Dispensasi Camat!",""))</f>
        <v/>
      </c>
      <c r="E9" s="263"/>
      <c r="F9" s="47"/>
      <c r="G9" s="37"/>
      <c r="H9" s="35" t="str">
        <f>UPPER(J9&amp;", "&amp;(TEXT(C9,"DD MMMM YYYY")))</f>
        <v>KAMIS, 19 NOVEMBER 2026</v>
      </c>
      <c r="I9" s="35" t="str">
        <f>TEXT(C9, "DDDD")</f>
        <v>Kamis</v>
      </c>
      <c r="J9" s="35" t="str">
        <f>IF(I9="Minggu","Ahad",I9)</f>
        <v>Kamis</v>
      </c>
      <c r="K9" s="34">
        <f>IF(I3&lt;10,1,0)</f>
        <v>0</v>
      </c>
      <c r="M9" s="194"/>
      <c r="N9" s="193" t="s">
        <v>408</v>
      </c>
      <c r="O9" s="192" t="str">
        <f>IF(K9=1,"Cetak","Tidak Cetak")</f>
        <v>Tidak Cetak</v>
      </c>
    </row>
    <row r="10" spans="1:15" ht="18" customHeight="1" thickBot="1">
      <c r="A10" s="47"/>
      <c r="B10" s="50" t="s">
        <v>200</v>
      </c>
      <c r="C10" s="165" t="s">
        <v>206</v>
      </c>
      <c r="D10" s="239" t="s">
        <v>435</v>
      </c>
      <c r="E10" s="240"/>
      <c r="F10" s="47"/>
      <c r="G10" s="35" t="s">
        <v>195</v>
      </c>
      <c r="H10" s="35" t="str">
        <f>PROPER(H9)</f>
        <v>Kamis, 19 November 2026</v>
      </c>
      <c r="I10" s="35" t="str">
        <f>IF(D9="","",UPPER(D10))</f>
        <v/>
      </c>
      <c r="M10" s="247" t="s">
        <v>422</v>
      </c>
      <c r="N10" s="248"/>
      <c r="O10" s="249"/>
    </row>
    <row r="11" spans="1:15" ht="18" customHeight="1" thickBot="1">
      <c r="A11" s="47"/>
      <c r="B11" s="50" t="s">
        <v>100</v>
      </c>
      <c r="C11" s="246" t="s">
        <v>454</v>
      </c>
      <c r="D11" s="246"/>
      <c r="E11" s="160" t="s">
        <v>195</v>
      </c>
      <c r="F11" s="47"/>
      <c r="G11" s="35" t="s">
        <v>196</v>
      </c>
      <c r="H11" s="35" t="str">
        <f>IF(E11="KANTOR","BALAI NIKAH KUA WATUKUMPUL",UPPER(C11))</f>
        <v>DSN SIMADU RT 003 RW 008 DESA BADAK KECAMATAN BELIK KABUPATEN PEMALANG</v>
      </c>
      <c r="M11" s="193" t="s">
        <v>424</v>
      </c>
      <c r="N11" s="193" t="s">
        <v>423</v>
      </c>
      <c r="O11" s="233"/>
    </row>
    <row r="12" spans="1:15" ht="3.75" customHeight="1" thickBot="1">
      <c r="A12" s="47"/>
      <c r="B12" s="270"/>
      <c r="C12" s="270"/>
      <c r="D12" s="271"/>
      <c r="E12" s="125"/>
      <c r="F12" s="47"/>
    </row>
    <row r="13" spans="1:15" ht="23.25" customHeight="1" thickBot="1">
      <c r="A13" s="47"/>
      <c r="B13" s="258" t="s">
        <v>144</v>
      </c>
      <c r="C13" s="259"/>
      <c r="D13" s="126" t="s">
        <v>303</v>
      </c>
      <c r="E13" s="198" t="s">
        <v>301</v>
      </c>
      <c r="F13" s="47"/>
      <c r="G13" s="35" t="str">
        <f>E13</f>
        <v>BERSAMA</v>
      </c>
      <c r="H13" s="35" t="str">
        <f>IF(G14=2,G13,"-")</f>
        <v>BERSAMA</v>
      </c>
    </row>
    <row r="14" spans="1:15" ht="17.25" customHeight="1">
      <c r="A14" s="47"/>
      <c r="B14" s="38" t="s">
        <v>177</v>
      </c>
      <c r="C14" s="236" t="s">
        <v>455</v>
      </c>
      <c r="D14" s="236"/>
      <c r="E14" s="199" t="s">
        <v>406</v>
      </c>
      <c r="F14" s="47"/>
      <c r="G14" s="34">
        <f>G32+G23</f>
        <v>2</v>
      </c>
      <c r="H14" s="35" t="str">
        <f>UPPER(C14)</f>
        <v>AOFA ARDIAN FADILLAH AZIZ</v>
      </c>
      <c r="I14" s="199">
        <f>IF(E14="LOKAL",1,2)</f>
        <v>1</v>
      </c>
    </row>
    <row r="15" spans="1:15" ht="17.25" customHeight="1" thickBot="1">
      <c r="A15" s="47"/>
      <c r="B15" s="38" t="s">
        <v>252</v>
      </c>
      <c r="C15" s="188" t="s">
        <v>456</v>
      </c>
      <c r="D15" s="32" t="s">
        <v>255</v>
      </c>
      <c r="E15" s="55" t="s">
        <v>264</v>
      </c>
      <c r="F15" s="47"/>
      <c r="G15" s="39"/>
      <c r="H15" s="35" t="str">
        <f>C15</f>
        <v>3327041308020004</v>
      </c>
    </row>
    <row r="16" spans="1:15" ht="17.25" customHeight="1">
      <c r="A16" s="47"/>
      <c r="B16" s="38" t="s">
        <v>179</v>
      </c>
      <c r="C16" s="32" t="s">
        <v>193</v>
      </c>
      <c r="D16" s="117">
        <v>37481</v>
      </c>
      <c r="E16" s="55" t="s">
        <v>264</v>
      </c>
      <c r="F16" s="47"/>
      <c r="H16" s="35" t="str">
        <f>I16</f>
        <v>PEMALANG, 13 AGUSTUS 2002</v>
      </c>
      <c r="I16" s="35" t="str">
        <f>UPPER(C16&amp;", "&amp;TEXT(D16,"D MMMM YYYY"))</f>
        <v>PEMALANG, 13 AGUSTUS 2002</v>
      </c>
      <c r="J16" s="105">
        <f ca="1">NOW()-D16</f>
        <v>8822.3839151620341</v>
      </c>
    </row>
    <row r="17" spans="1:10" ht="17.25" customHeight="1" thickBot="1">
      <c r="A17" s="47"/>
      <c r="B17" s="38" t="s">
        <v>180</v>
      </c>
      <c r="C17" s="32" t="s">
        <v>168</v>
      </c>
      <c r="D17" s="32" t="s">
        <v>457</v>
      </c>
      <c r="E17" s="55" t="s">
        <v>262</v>
      </c>
      <c r="F17" s="47"/>
      <c r="H17" s="35" t="str">
        <f>UPPER(I17)</f>
        <v>WIRASWASTA</v>
      </c>
      <c r="I17" s="35" t="str">
        <f>IF(C17="Lainnya",D17,C17)</f>
        <v>WIRASWASTA</v>
      </c>
      <c r="J17" s="106" t="str">
        <f ca="1">TEXT(J16,"YY")</f>
        <v>24</v>
      </c>
    </row>
    <row r="18" spans="1:10" ht="17.25" customHeight="1">
      <c r="A18" s="47"/>
      <c r="B18" s="38" t="s">
        <v>251</v>
      </c>
      <c r="C18" s="32" t="s">
        <v>163</v>
      </c>
      <c r="D18" s="32" t="s">
        <v>457</v>
      </c>
      <c r="E18" s="55" t="s">
        <v>262</v>
      </c>
      <c r="F18" s="47"/>
      <c r="H18" s="35" t="str">
        <f>UPPER(IF(C18="WNA",D18,C18))</f>
        <v>INDONESIA</v>
      </c>
    </row>
    <row r="19" spans="1:10" ht="17.25" customHeight="1">
      <c r="A19" s="47"/>
      <c r="B19" s="38" t="s">
        <v>257</v>
      </c>
      <c r="C19" s="32" t="s">
        <v>145</v>
      </c>
      <c r="D19" s="32"/>
      <c r="E19" s="55" t="s">
        <v>265</v>
      </c>
      <c r="F19" s="47"/>
      <c r="H19" s="35" t="str">
        <f>C19</f>
        <v>JEJAKA (BELUM KAWIN)</v>
      </c>
      <c r="I19" s="35" t="str">
        <f>IF(H19="BERISTRI",UPPER(D19),"")</f>
        <v/>
      </c>
      <c r="J19" s="35" t="str" cm="1">
        <f t="array" ref="J19">_xlfn.IFS(H19="JEJAKA (BELUM KAWIN)","Jejaka",H19="BERISTRI","Beristri",TRUE,"Duda")&amp;" - "&amp;D15</f>
        <v>Jejaka - SLTA</v>
      </c>
    </row>
    <row r="20" spans="1:10" ht="17.25" customHeight="1">
      <c r="A20" s="47"/>
      <c r="B20" s="38" t="s">
        <v>184</v>
      </c>
      <c r="C20" s="235" t="s">
        <v>458</v>
      </c>
      <c r="D20" s="235"/>
      <c r="E20" s="55" t="s">
        <v>263</v>
      </c>
      <c r="F20" s="47"/>
      <c r="H20" s="35" t="str">
        <f>UPPER(C20)</f>
        <v>DK. TAMBI RT 002 RW 001 TAMBI</v>
      </c>
    </row>
    <row r="21" spans="1:10" ht="17.25" customHeight="1" thickBot="1">
      <c r="A21" s="47"/>
      <c r="B21" s="35" t="s">
        <v>97</v>
      </c>
      <c r="C21" s="234" t="s">
        <v>176</v>
      </c>
      <c r="D21" s="234"/>
      <c r="E21" s="55" t="s">
        <v>263</v>
      </c>
      <c r="F21" s="47"/>
      <c r="H21" s="35" t="str">
        <f>UPPER(C21)</f>
        <v>KEC. WATUKUMPUL KAB. PEMALANG</v>
      </c>
    </row>
    <row r="22" spans="1:10" ht="8.25" customHeight="1" thickTop="1">
      <c r="A22" s="47"/>
      <c r="C22" s="30"/>
      <c r="D22" s="30"/>
      <c r="F22" s="47"/>
      <c r="H22" s="40"/>
    </row>
    <row r="23" spans="1:10" ht="17.25" customHeight="1">
      <c r="A23" s="48"/>
      <c r="B23" s="38" t="s">
        <v>261</v>
      </c>
      <c r="C23" s="33" t="s">
        <v>459</v>
      </c>
      <c r="D23" s="33" t="s">
        <v>460</v>
      </c>
      <c r="E23" s="54" t="s">
        <v>150</v>
      </c>
      <c r="F23" s="48"/>
      <c r="G23" s="34">
        <f>IF(E23="Hidup",1,0)</f>
        <v>1</v>
      </c>
      <c r="H23" s="35" t="str">
        <f>IF(E23="Sepi Ayah","-.-.",IF(E23="MENINGGAL",(C23&amp;" (ALM)"),C23))</f>
        <v>TOHIRIN</v>
      </c>
      <c r="I23" s="35" t="str">
        <f>PROPER(C23)</f>
        <v>Tohirin</v>
      </c>
      <c r="J23" s="35" t="str">
        <f>IF(E23="Sepi Ayah",I32,I23)</f>
        <v>Tohirin</v>
      </c>
    </row>
    <row r="24" spans="1:10" ht="17.25" customHeight="1">
      <c r="A24" s="48"/>
      <c r="B24" s="38" t="s">
        <v>178</v>
      </c>
      <c r="C24" s="188" t="s">
        <v>461</v>
      </c>
      <c r="D24" s="32"/>
      <c r="E24" s="39"/>
      <c r="F24" s="48"/>
      <c r="G24" s="128"/>
      <c r="H24" s="35" t="str">
        <f>IF(E23="Hidup",C24,"-")</f>
        <v>3327040107730222</v>
      </c>
    </row>
    <row r="25" spans="1:10" ht="17.25" customHeight="1">
      <c r="A25" s="48"/>
      <c r="B25" s="38" t="s">
        <v>179</v>
      </c>
      <c r="C25" s="32" t="s">
        <v>193</v>
      </c>
      <c r="D25" s="117">
        <v>26846</v>
      </c>
      <c r="F25" s="48"/>
      <c r="G25" s="34"/>
      <c r="H25" s="35" t="str">
        <f>IF(E23="Hidup",I25,"-")</f>
        <v>PEMALANG, 1 JULI 1973</v>
      </c>
      <c r="I25" s="35" t="str">
        <f>UPPER(C25&amp;", "&amp;TEXT(D25,"D MMMM YYYY"))</f>
        <v>PEMALANG, 1 JULI 1973</v>
      </c>
    </row>
    <row r="26" spans="1:10" ht="17.25" customHeight="1">
      <c r="A26" s="48"/>
      <c r="B26" s="38" t="s">
        <v>181</v>
      </c>
      <c r="C26" s="32" t="s">
        <v>163</v>
      </c>
      <c r="D26" s="32" t="s">
        <v>462</v>
      </c>
      <c r="F26" s="48"/>
      <c r="G26" s="34"/>
      <c r="H26" s="35" t="str">
        <f>IF(E23="Hidup",C26,"-")</f>
        <v>INDONESIA</v>
      </c>
    </row>
    <row r="27" spans="1:10" ht="17.25" customHeight="1">
      <c r="A27" s="48"/>
      <c r="B27" s="38" t="s">
        <v>182</v>
      </c>
      <c r="C27" s="32" t="s">
        <v>156</v>
      </c>
      <c r="D27" s="32" t="s">
        <v>462</v>
      </c>
      <c r="F27" s="48"/>
      <c r="G27" s="34"/>
      <c r="H27" s="35" t="str">
        <f>IF(E23="Hidup",C27,"-")</f>
        <v>ISLAM</v>
      </c>
    </row>
    <row r="28" spans="1:10" ht="17.25" customHeight="1">
      <c r="A28" s="48"/>
      <c r="B28" s="38" t="s">
        <v>183</v>
      </c>
      <c r="C28" s="32" t="s">
        <v>168</v>
      </c>
      <c r="D28" s="32"/>
      <c r="F28" s="48"/>
      <c r="G28" s="34"/>
      <c r="H28" s="35" t="str">
        <f>IF(E23="Hidup",I28,"-")</f>
        <v>WIRASWASTA</v>
      </c>
      <c r="I28" s="35" t="str">
        <f>IF(C28="Lainnya",D28,C28)</f>
        <v>WIRASWASTA</v>
      </c>
    </row>
    <row r="29" spans="1:10" ht="17.25" customHeight="1">
      <c r="A29" s="48"/>
      <c r="B29" s="38" t="s">
        <v>184</v>
      </c>
      <c r="C29" s="235" t="s">
        <v>458</v>
      </c>
      <c r="D29" s="235"/>
      <c r="E29" s="54" t="s">
        <v>153</v>
      </c>
      <c r="F29" s="48"/>
      <c r="G29" s="34"/>
      <c r="H29" s="35" t="str">
        <f>IF(E23="Meninggal","-",I29)</f>
        <v>DK. TAMBI RT 002 RW 001 TAMBI</v>
      </c>
      <c r="I29" s="35" t="str">
        <f>IF(E23="Sepi Ayah","-",IF(E23="Hidup",J29,"Tidak Diketahui Keberadaannya"))</f>
        <v>DK. TAMBI RT 002 RW 001 TAMBI</v>
      </c>
      <c r="J29" s="35" t="str">
        <f>UPPER(IF(E29="Alamat Sendiri",C29,H20))</f>
        <v>DK. TAMBI RT 002 RW 001 TAMBI</v>
      </c>
    </row>
    <row r="30" spans="1:10" ht="17.25" customHeight="1" thickBot="1">
      <c r="A30" s="47"/>
      <c r="C30" s="234" t="s">
        <v>176</v>
      </c>
      <c r="D30" s="234"/>
      <c r="F30" s="47"/>
      <c r="G30" s="34"/>
      <c r="H30" s="35" t="str">
        <f>IF(OR(E23="Meninggal",E23="Miruda"),"-",I30)</f>
        <v>KEC. WATUKUMPUL KAB. PEMALANG</v>
      </c>
      <c r="I30" s="35" t="str">
        <f>IF(E23="Sepi Ayah","-",IF(E23="Hidup",J30,"Tidak Diketahui Keberadaannya"))</f>
        <v>KEC. WATUKUMPUL KAB. PEMALANG</v>
      </c>
      <c r="J30" s="35" t="str">
        <f>UPPER(IF(E30="Alamat Sendiri",C30,H21))</f>
        <v>KEC. WATUKUMPUL KAB. PEMALANG</v>
      </c>
    </row>
    <row r="31" spans="1:10" ht="8.25" customHeight="1" thickTop="1">
      <c r="A31" s="47"/>
      <c r="C31" s="30"/>
      <c r="D31" s="30"/>
      <c r="F31" s="47"/>
      <c r="G31" s="34"/>
      <c r="H31" s="40"/>
    </row>
    <row r="32" spans="1:10" ht="17.25" customHeight="1">
      <c r="A32" s="48"/>
      <c r="B32" s="38" t="s">
        <v>260</v>
      </c>
      <c r="C32" s="33" t="s">
        <v>463</v>
      </c>
      <c r="D32" s="33" t="s">
        <v>464</v>
      </c>
      <c r="E32" s="54" t="s">
        <v>150</v>
      </c>
      <c r="F32" s="48"/>
      <c r="G32" s="34">
        <f>IF(E32="Hidup",1,0)</f>
        <v>1</v>
      </c>
      <c r="H32" s="35" t="str">
        <f>UPPER(IF(E32="MENINGGAL",(C32&amp;" (ALM)"),C32))</f>
        <v>KARIPAH</v>
      </c>
      <c r="I32" s="35" t="str">
        <f>PROPER(C32)&amp;" (IBU)"</f>
        <v>Karipah (IBU)</v>
      </c>
    </row>
    <row r="33" spans="1:10" ht="17.25" customHeight="1">
      <c r="A33" s="48"/>
      <c r="B33" s="38" t="s">
        <v>178</v>
      </c>
      <c r="C33" s="188" t="s">
        <v>465</v>
      </c>
      <c r="D33" s="32"/>
      <c r="E33" s="39"/>
      <c r="F33" s="48"/>
      <c r="H33" s="35" t="str">
        <f>IF(E32="Hidup",C33,"-")</f>
        <v>3327044107740064</v>
      </c>
    </row>
    <row r="34" spans="1:10" ht="17.25" customHeight="1">
      <c r="A34" s="48"/>
      <c r="B34" s="38" t="s">
        <v>179</v>
      </c>
      <c r="C34" s="32" t="s">
        <v>193</v>
      </c>
      <c r="D34" s="117">
        <v>27211</v>
      </c>
      <c r="F34" s="48"/>
      <c r="H34" s="35" t="str">
        <f>IF(E32="Hidup",I34,"-")</f>
        <v>PEMALANG, 1 JULI 1974</v>
      </c>
      <c r="I34" s="35" t="str">
        <f>UPPER(C34&amp;", "&amp;TEXT(D34,"D MMMM YYYY"))</f>
        <v>PEMALANG, 1 JULI 1974</v>
      </c>
    </row>
    <row r="35" spans="1:10" ht="17.25" customHeight="1">
      <c r="A35" s="48"/>
      <c r="B35" s="38" t="s">
        <v>181</v>
      </c>
      <c r="C35" s="32" t="s">
        <v>163</v>
      </c>
      <c r="D35" s="32" t="s">
        <v>457</v>
      </c>
      <c r="F35" s="48"/>
      <c r="H35" s="35" t="str">
        <f>IF(E32="Hidup",I35,"-")</f>
        <v>INDONESIA</v>
      </c>
      <c r="I35" s="35" t="str">
        <f>UPPER(IF(C35="WNA",D35,C35))</f>
        <v>INDONESIA</v>
      </c>
    </row>
    <row r="36" spans="1:10" ht="17.25" customHeight="1">
      <c r="A36" s="48"/>
      <c r="B36" s="38" t="s">
        <v>182</v>
      </c>
      <c r="C36" s="32" t="s">
        <v>156</v>
      </c>
      <c r="D36" s="32" t="s">
        <v>457</v>
      </c>
      <c r="F36" s="48"/>
      <c r="H36" s="35" t="str">
        <f>IF(E32="Hidup",I36,"-")</f>
        <v>ISLAM</v>
      </c>
      <c r="I36" s="35" t="str">
        <f>C36</f>
        <v>ISLAM</v>
      </c>
    </row>
    <row r="37" spans="1:10" ht="17.25" customHeight="1">
      <c r="A37" s="48"/>
      <c r="B37" s="38" t="s">
        <v>183</v>
      </c>
      <c r="C37" s="32" t="s">
        <v>175</v>
      </c>
      <c r="D37" s="32"/>
      <c r="F37" s="48"/>
      <c r="H37" s="35" t="str">
        <f>IF(E32="Hidup",I37,"-")</f>
        <v>MENGURUS RUMAH TANGGA</v>
      </c>
      <c r="I37" s="35" t="str">
        <f>IF(C37="Lainnya",D37,C37)</f>
        <v>MENGURUS RUMAH TANGGA</v>
      </c>
    </row>
    <row r="38" spans="1:10" ht="17.25" customHeight="1">
      <c r="A38" s="48"/>
      <c r="B38" s="38" t="s">
        <v>184</v>
      </c>
      <c r="C38" s="235" t="s">
        <v>458</v>
      </c>
      <c r="D38" s="235"/>
      <c r="E38" s="54" t="s">
        <v>154</v>
      </c>
      <c r="F38" s="48"/>
      <c r="H38" s="35" t="str">
        <f>IF(E32="Hidup",I38,"-")</f>
        <v>DK. TAMBI RT 002 RW 001 TAMBI</v>
      </c>
      <c r="I38" s="35" t="str">
        <f>UPPER(IF(E38="Alamat Calon",C20,IF(E38="Alamat Suami",H29,C38)))</f>
        <v>DK. TAMBI RT 002 RW 001 TAMBI</v>
      </c>
    </row>
    <row r="39" spans="1:10" ht="16.5" thickBot="1">
      <c r="A39" s="47"/>
      <c r="C39" s="234" t="s">
        <v>176</v>
      </c>
      <c r="D39" s="234"/>
      <c r="F39" s="47"/>
      <c r="H39" s="35" t="str">
        <f>IF(E32="Hidup",I39,"-")</f>
        <v>KEC. WATUKUMPUL KAB. PEMALANG</v>
      </c>
      <c r="I39" s="35" t="str">
        <f>UPPER(IF(E38="Alamat Calon",C21,IF(E38="Alamat Suami",H30,C39)))</f>
        <v>KEC. WATUKUMPUL KAB. PEMALANG</v>
      </c>
    </row>
    <row r="40" spans="1:10" ht="7.5" customHeight="1" thickTop="1" thickBot="1">
      <c r="A40" s="47"/>
      <c r="B40" s="265"/>
      <c r="C40" s="265"/>
      <c r="D40" s="266"/>
      <c r="E40" s="41"/>
      <c r="F40" s="47"/>
      <c r="G40" s="41"/>
      <c r="H40" s="41"/>
      <c r="I40" s="41"/>
    </row>
    <row r="41" spans="1:10" ht="23.25" customHeight="1" thickBot="1">
      <c r="A41" s="47"/>
      <c r="B41" s="260" t="s">
        <v>149</v>
      </c>
      <c r="C41" s="261"/>
      <c r="D41" s="126" t="s">
        <v>303</v>
      </c>
      <c r="E41" s="127" t="s">
        <v>301</v>
      </c>
      <c r="F41" s="47"/>
      <c r="G41" s="35" t="str">
        <f>E41</f>
        <v>BERSAMA</v>
      </c>
      <c r="H41" s="35" t="str">
        <f>IF(G42=2,G41,"-")</f>
        <v>BERSAMA</v>
      </c>
    </row>
    <row r="42" spans="1:10" ht="17.25" customHeight="1">
      <c r="A42" s="47"/>
      <c r="B42" s="42" t="s">
        <v>177</v>
      </c>
      <c r="C42" s="236" t="s">
        <v>466</v>
      </c>
      <c r="D42" s="236"/>
      <c r="E42" s="199" t="s">
        <v>406</v>
      </c>
      <c r="F42" s="47"/>
      <c r="G42" s="34">
        <f>G60+G51</f>
        <v>2</v>
      </c>
      <c r="H42" s="35" t="str">
        <f>UPPER(C42)</f>
        <v>FIKA INTAN ELMASARI</v>
      </c>
      <c r="I42" s="199">
        <f>IF(E42="LOKAL",1,2)</f>
        <v>1</v>
      </c>
    </row>
    <row r="43" spans="1:10" ht="17.25" customHeight="1" thickBot="1">
      <c r="A43" s="47"/>
      <c r="B43" s="42" t="s">
        <v>252</v>
      </c>
      <c r="C43" s="188" t="s">
        <v>467</v>
      </c>
      <c r="D43" s="32" t="s">
        <v>255</v>
      </c>
      <c r="E43" s="55" t="s">
        <v>264</v>
      </c>
      <c r="F43" s="47"/>
      <c r="G43" s="39"/>
      <c r="H43" s="35" t="str">
        <f>C43</f>
        <v>3327034810050002</v>
      </c>
    </row>
    <row r="44" spans="1:10" ht="17.25" customHeight="1">
      <c r="A44" s="47"/>
      <c r="B44" s="42" t="s">
        <v>179</v>
      </c>
      <c r="C44" s="32" t="s">
        <v>193</v>
      </c>
      <c r="D44" s="117">
        <v>38633</v>
      </c>
      <c r="E44" s="55" t="s">
        <v>264</v>
      </c>
      <c r="F44" s="47"/>
      <c r="H44" s="35" t="str">
        <f>I44</f>
        <v>PEMALANG, 8 OKTOBER 2005</v>
      </c>
      <c r="I44" s="35" t="str">
        <f>UPPER(C44&amp;", "&amp;TEXT(D44,"D MMMM YYYY"))</f>
        <v>PEMALANG, 8 OKTOBER 2005</v>
      </c>
      <c r="J44" s="105">
        <f ca="1">NOW()-D44</f>
        <v>7670.3839151620341</v>
      </c>
    </row>
    <row r="45" spans="1:10" ht="17.25" customHeight="1" thickBot="1">
      <c r="A45" s="47"/>
      <c r="B45" s="42" t="s">
        <v>180</v>
      </c>
      <c r="C45" s="32" t="s">
        <v>174</v>
      </c>
      <c r="D45" s="32" t="s">
        <v>468</v>
      </c>
      <c r="E45" s="55" t="s">
        <v>262</v>
      </c>
      <c r="F45" s="47"/>
      <c r="H45" s="35" t="str">
        <f>UPPER(I45)</f>
        <v>PELAJAR MAHASISWA</v>
      </c>
      <c r="I45" s="35" t="str">
        <f>IF(C45="Lainnya",D45,C45)</f>
        <v>Pelajar Mahasiswa</v>
      </c>
      <c r="J45" s="106" t="str">
        <f ca="1">TEXT(J44,"YY")</f>
        <v>20</v>
      </c>
    </row>
    <row r="46" spans="1:10" ht="17.25" customHeight="1">
      <c r="A46" s="47"/>
      <c r="B46" s="42" t="s">
        <v>251</v>
      </c>
      <c r="C46" s="32" t="s">
        <v>163</v>
      </c>
      <c r="D46" s="32" t="s">
        <v>259</v>
      </c>
      <c r="E46" s="55" t="s">
        <v>262</v>
      </c>
      <c r="F46" s="47"/>
      <c r="H46" s="35" t="str">
        <f>UPPER(IF(C46="WNA",D46,C46))</f>
        <v>INDONESIA</v>
      </c>
    </row>
    <row r="47" spans="1:10" ht="17.25" customHeight="1">
      <c r="A47" s="47"/>
      <c r="B47" s="42" t="s">
        <v>257</v>
      </c>
      <c r="C47" s="32" t="s">
        <v>190</v>
      </c>
      <c r="D47" s="32"/>
      <c r="E47" s="55" t="s">
        <v>265</v>
      </c>
      <c r="F47" s="47"/>
      <c r="H47" s="35" t="str">
        <f>C47</f>
        <v>PERAWAN (BELUM KAWIN)</v>
      </c>
      <c r="I47" s="35" t="str">
        <f>IF(H47="BERISTRI",UPPER(D47),"")</f>
        <v/>
      </c>
      <c r="J47" s="35" t="str">
        <f>IF(H47="PERAWAN (BELUM KAWIN)","Perawan","Janda")&amp;" - "&amp;D43</f>
        <v>Perawan - SLTA</v>
      </c>
    </row>
    <row r="48" spans="1:10" ht="17.25" customHeight="1">
      <c r="A48" s="47"/>
      <c r="B48" s="42" t="s">
        <v>184</v>
      </c>
      <c r="C48" s="235" t="s">
        <v>469</v>
      </c>
      <c r="D48" s="235"/>
      <c r="E48" s="55" t="s">
        <v>263</v>
      </c>
      <c r="F48" s="47"/>
      <c r="H48" s="35" t="str">
        <f>UPPER(C48)</f>
        <v>DSN SIMADU RT 003 RW 008 DESA BADAK</v>
      </c>
    </row>
    <row r="49" spans="1:10" ht="17.25" customHeight="1" thickBot="1">
      <c r="A49" s="47"/>
      <c r="B49" s="35" t="s">
        <v>97</v>
      </c>
      <c r="C49" s="234" t="s">
        <v>470</v>
      </c>
      <c r="D49" s="234"/>
      <c r="E49" s="55" t="s">
        <v>263</v>
      </c>
      <c r="F49" s="47"/>
      <c r="H49" s="35" t="str">
        <f>UPPER(C49)</f>
        <v>KECAMATAN BELIK KABUPATEN PEMALANG</v>
      </c>
    </row>
    <row r="50" spans="1:10" ht="8.25" customHeight="1" thickTop="1">
      <c r="A50" s="47"/>
      <c r="C50" s="30"/>
      <c r="D50" s="30"/>
      <c r="F50" s="47"/>
      <c r="H50" s="43"/>
    </row>
    <row r="51" spans="1:10" ht="17.25" customHeight="1">
      <c r="A51" s="48"/>
      <c r="B51" s="42" t="s">
        <v>261</v>
      </c>
      <c r="C51" s="33" t="s">
        <v>471</v>
      </c>
      <c r="D51" s="33" t="s">
        <v>472</v>
      </c>
      <c r="E51" s="54" t="s">
        <v>150</v>
      </c>
      <c r="F51" s="48"/>
      <c r="G51" s="34">
        <f>IF(E51="Hidup",1,0)</f>
        <v>1</v>
      </c>
      <c r="H51" s="35" t="str">
        <f>UPPER(IF(H73="SEPI WALI","--",IF(E51="Sepi Ayah","--.",IF(E51="MENINGGAL",(C51&amp;" (ALM)"),C51))))</f>
        <v>SAMIUN</v>
      </c>
      <c r="I51" s="35" t="str">
        <f>PROPER(C51)</f>
        <v>Samiun</v>
      </c>
      <c r="J51" s="35" t="str">
        <f>IF(OR(E51="Sepi Ayah",H73="SEPI WALI"),I60,I51)</f>
        <v>Samiun</v>
      </c>
    </row>
    <row r="52" spans="1:10" ht="17.25" customHeight="1">
      <c r="A52" s="48"/>
      <c r="B52" s="42" t="s">
        <v>178</v>
      </c>
      <c r="C52" s="188" t="s">
        <v>473</v>
      </c>
      <c r="D52" s="32"/>
      <c r="E52" s="39"/>
      <c r="F52" s="48"/>
      <c r="G52" s="128"/>
      <c r="H52" s="35" t="str">
        <f>(IF(H73="SEPI WALI","-",IF(E51="Hidup",C52,"-")))</f>
        <v>3327031103810011</v>
      </c>
    </row>
    <row r="53" spans="1:10" ht="17.25" customHeight="1">
      <c r="A53" s="48"/>
      <c r="B53" s="42" t="s">
        <v>179</v>
      </c>
      <c r="C53" s="32" t="s">
        <v>193</v>
      </c>
      <c r="D53" s="117">
        <v>29656</v>
      </c>
      <c r="F53" s="48"/>
      <c r="G53" s="34"/>
      <c r="H53" s="35" t="str">
        <f>(IF(H73="SEPI WALI","-",IF($E$51="Hidup",I53,"-")))</f>
        <v>PEMALANG, 11 MARET 1981</v>
      </c>
      <c r="I53" s="35" t="str">
        <f>UPPER(C53&amp;", "&amp;TEXT(D53,"D MMMM YYYY"))</f>
        <v>PEMALANG, 11 MARET 1981</v>
      </c>
      <c r="J53" s="104"/>
    </row>
    <row r="54" spans="1:10" ht="17.25" customHeight="1">
      <c r="A54" s="48"/>
      <c r="B54" s="42" t="s">
        <v>181</v>
      </c>
      <c r="C54" s="32" t="s">
        <v>163</v>
      </c>
      <c r="D54" s="32"/>
      <c r="F54" s="48"/>
      <c r="G54" s="34"/>
      <c r="H54" s="35" t="str">
        <f>(IF(H73="SEPI WALI","-",IF($E$51="Hidup",I54,"-")))</f>
        <v>INDONESIA</v>
      </c>
      <c r="I54" s="35" t="str">
        <f>UPPER(IF(C54="WNA",D54,C54))</f>
        <v>INDONESIA</v>
      </c>
      <c r="J54" s="104"/>
    </row>
    <row r="55" spans="1:10" ht="17.25" customHeight="1">
      <c r="A55" s="48"/>
      <c r="B55" s="42" t="s">
        <v>182</v>
      </c>
      <c r="C55" s="32" t="s">
        <v>156</v>
      </c>
      <c r="D55" s="32"/>
      <c r="F55" s="48"/>
      <c r="G55" s="34"/>
      <c r="H55" s="35" t="str">
        <f>(IF(H73="SEPI WALI","-",IF($E$51="Hidup",I55,"-")))</f>
        <v>ISLAM</v>
      </c>
      <c r="I55" s="35" t="str">
        <f>C55</f>
        <v>ISLAM</v>
      </c>
    </row>
    <row r="56" spans="1:10" ht="17.25" customHeight="1">
      <c r="A56" s="48"/>
      <c r="B56" s="42" t="s">
        <v>183</v>
      </c>
      <c r="C56" s="32" t="s">
        <v>170</v>
      </c>
      <c r="D56" s="32"/>
      <c r="F56" s="48"/>
      <c r="G56" s="34"/>
      <c r="H56" s="35" t="str">
        <f>(IF(H73="SEPI WALI","-",IF(E51="Hidup",I56,"-")))</f>
        <v>PETANI</v>
      </c>
      <c r="I56" s="35" t="str">
        <f>IF(C56="Lainnya",D56,C56)</f>
        <v>PETANI</v>
      </c>
    </row>
    <row r="57" spans="1:10" ht="17.25" customHeight="1">
      <c r="A57" s="48"/>
      <c r="B57" s="42" t="s">
        <v>184</v>
      </c>
      <c r="C57" s="235" t="s">
        <v>469</v>
      </c>
      <c r="D57" s="235"/>
      <c r="E57" s="54" t="s">
        <v>154</v>
      </c>
      <c r="F57" s="48"/>
      <c r="G57" s="34"/>
      <c r="H57" s="35" t="str">
        <f>(IF(H73="SEPI WALI","-",IF(E51="Meninggal","-",I57)))</f>
        <v>DSN SIMADU RT 003 RW 008 DESA BADAK</v>
      </c>
      <c r="I57" s="35" t="str">
        <f>IF(E51="Sepi Ayah","-",IF(E51="Hidup",J57,"Tidak Diketahui Keberadaannya"))</f>
        <v>DSN SIMADU RT 003 RW 008 DESA BADAK</v>
      </c>
      <c r="J57" s="35" t="str">
        <f>UPPER(IF(E57="Alamat Sendiri",C57,H48))</f>
        <v>DSN SIMADU RT 003 RW 008 DESA BADAK</v>
      </c>
    </row>
    <row r="58" spans="1:10" ht="17.25" customHeight="1" thickBot="1">
      <c r="A58" s="47"/>
      <c r="C58" s="234" t="s">
        <v>470</v>
      </c>
      <c r="D58" s="234"/>
      <c r="F58" s="47"/>
      <c r="G58" s="34"/>
      <c r="H58" s="35" t="str">
        <f>(IF(H73="SEPI WALI","-",IF(OR(E51="Meninggal",E51="Miruda"),"-",I58)))</f>
        <v>KECAMATAN BELIK KABUPATEN PEMALANG</v>
      </c>
      <c r="I58" s="35" t="str">
        <f>IF(E51="Sepi Ayah","-",IF(E51="Hidup",J58,"Tidak Diketahui Keberadaannya"))</f>
        <v>KECAMATAN BELIK KABUPATEN PEMALANG</v>
      </c>
      <c r="J58" s="35" t="str">
        <f>UPPER(IF(E58="Alamat Sendiri",C58,H49))</f>
        <v>KECAMATAN BELIK KABUPATEN PEMALANG</v>
      </c>
    </row>
    <row r="59" spans="1:10" ht="8.25" customHeight="1" thickTop="1">
      <c r="A59" s="47"/>
      <c r="C59" s="30"/>
      <c r="D59" s="30"/>
      <c r="F59" s="47"/>
      <c r="G59" s="34"/>
      <c r="H59" s="43"/>
    </row>
    <row r="60" spans="1:10" ht="17.25" customHeight="1">
      <c r="A60" s="48"/>
      <c r="B60" s="42" t="s">
        <v>260</v>
      </c>
      <c r="C60" s="33" t="s">
        <v>474</v>
      </c>
      <c r="D60" s="33" t="s">
        <v>475</v>
      </c>
      <c r="E60" s="54" t="s">
        <v>150</v>
      </c>
      <c r="F60" s="48"/>
      <c r="G60" s="34">
        <f>IF(E60="Hidup",1,0)</f>
        <v>1</v>
      </c>
      <c r="H60" s="35" t="str">
        <f>UPPER(IF(E60="MENINGGAL",(C60&amp;" (ALM)"),C60))</f>
        <v>SRINANI</v>
      </c>
      <c r="I60" s="35" t="str">
        <f>PROPER(C60)&amp;" (IBU)"</f>
        <v>Srinani (IBU)</v>
      </c>
    </row>
    <row r="61" spans="1:10" ht="17.25" customHeight="1">
      <c r="A61" s="48"/>
      <c r="B61" s="42" t="s">
        <v>178</v>
      </c>
      <c r="C61" s="188" t="s">
        <v>476</v>
      </c>
      <c r="D61" s="32"/>
      <c r="E61" s="39"/>
      <c r="F61" s="48"/>
      <c r="H61" s="35" t="str">
        <f>IF(E60="Hidup",C61,"-")</f>
        <v>3327034101870012</v>
      </c>
    </row>
    <row r="62" spans="1:10" ht="17.25" customHeight="1">
      <c r="A62" s="48"/>
      <c r="B62" s="42" t="s">
        <v>179</v>
      </c>
      <c r="C62" s="32" t="s">
        <v>193</v>
      </c>
      <c r="D62" s="117">
        <v>31778</v>
      </c>
      <c r="F62" s="48"/>
      <c r="G62" s="168"/>
      <c r="H62" s="35" t="str">
        <f>IF($E$60="Hidup",I62,"-")</f>
        <v>PEMALANG, 1 JANUARI 1987</v>
      </c>
      <c r="I62" s="35" t="str">
        <f>UPPER(C62&amp;", "&amp;TEXT(D62,"D MMMM YYYY"))</f>
        <v>PEMALANG, 1 JANUARI 1987</v>
      </c>
    </row>
    <row r="63" spans="1:10" ht="17.25" customHeight="1">
      <c r="A63" s="48"/>
      <c r="B63" s="42" t="s">
        <v>181</v>
      </c>
      <c r="C63" s="32" t="s">
        <v>163</v>
      </c>
      <c r="D63" s="32" t="s">
        <v>477</v>
      </c>
      <c r="F63" s="48"/>
      <c r="H63" s="35" t="str">
        <f t="shared" ref="H63:H67" si="0">IF($E$60="Hidup",I63,"-")</f>
        <v>INDONESIA</v>
      </c>
      <c r="I63" s="35" t="str">
        <f>UPPER(IF(C63="WNA",D63,C63))</f>
        <v>INDONESIA</v>
      </c>
    </row>
    <row r="64" spans="1:10" ht="17.25" customHeight="1">
      <c r="A64" s="48"/>
      <c r="B64" s="42" t="s">
        <v>182</v>
      </c>
      <c r="C64" s="32" t="s">
        <v>156</v>
      </c>
      <c r="D64" s="32" t="s">
        <v>477</v>
      </c>
      <c r="F64" s="48"/>
      <c r="H64" s="35" t="str">
        <f t="shared" si="0"/>
        <v>ISLAM</v>
      </c>
      <c r="I64" s="35" t="str">
        <f>C64</f>
        <v>ISLAM</v>
      </c>
    </row>
    <row r="65" spans="1:9" ht="17.25" customHeight="1">
      <c r="A65" s="48"/>
      <c r="B65" s="42" t="s">
        <v>183</v>
      </c>
      <c r="C65" s="32" t="s">
        <v>175</v>
      </c>
      <c r="D65" s="32" t="s">
        <v>477</v>
      </c>
      <c r="F65" s="48"/>
      <c r="H65" s="35" t="str">
        <f t="shared" si="0"/>
        <v>MENGURUS RUMAH TANGGA</v>
      </c>
      <c r="I65" s="35" t="str">
        <f>IF(C65="Lainnya",D65,C65)</f>
        <v>MENGURUS RUMAH TANGGA</v>
      </c>
    </row>
    <row r="66" spans="1:9" ht="17.25" customHeight="1">
      <c r="A66" s="48"/>
      <c r="B66" s="42" t="s">
        <v>184</v>
      </c>
      <c r="C66" s="235" t="s">
        <v>469</v>
      </c>
      <c r="D66" s="235"/>
      <c r="E66" s="54" t="s">
        <v>154</v>
      </c>
      <c r="F66" s="48"/>
      <c r="H66" s="35" t="str">
        <f t="shared" si="0"/>
        <v>DSN SIMADU RT 003 RW 008 DESA BADAK</v>
      </c>
      <c r="I66" s="35" t="str">
        <f>UPPER(IF(E66="Alamat Calon",C48,IF(E66="Alamat Suami",H57,C66)))</f>
        <v>DSN SIMADU RT 003 RW 008 DESA BADAK</v>
      </c>
    </row>
    <row r="67" spans="1:9" ht="16.5" thickBot="1">
      <c r="A67" s="47"/>
      <c r="C67" s="234" t="s">
        <v>470</v>
      </c>
      <c r="D67" s="234"/>
      <c r="F67" s="47"/>
      <c r="H67" s="35" t="str">
        <f t="shared" si="0"/>
        <v>KECAMATAN BELIK KABUPATEN PEMALANG</v>
      </c>
      <c r="I67" s="35" t="str">
        <f>UPPER(IF(E66="Alamat Calon",C49,IF(E66="Alamat Suami",H58,C67)))</f>
        <v>KECAMATAN BELIK KABUPATEN PEMALANG</v>
      </c>
    </row>
    <row r="68" spans="1:9" ht="8.25" customHeight="1" thickTop="1">
      <c r="A68" s="47"/>
      <c r="B68" s="265"/>
      <c r="C68" s="265"/>
      <c r="D68" s="266"/>
      <c r="F68" s="47"/>
      <c r="H68" s="43"/>
    </row>
    <row r="69" spans="1:9" ht="21.75" customHeight="1">
      <c r="A69" s="47"/>
      <c r="B69" s="264" t="s">
        <v>300</v>
      </c>
      <c r="C69" s="264"/>
      <c r="D69" s="264"/>
      <c r="F69" s="47"/>
    </row>
    <row r="70" spans="1:9">
      <c r="A70" s="47"/>
      <c r="B70" s="44" t="s">
        <v>400</v>
      </c>
      <c r="C70" s="31" t="s">
        <v>226</v>
      </c>
      <c r="D70" s="45" t="s">
        <v>385</v>
      </c>
      <c r="E70" s="55" t="s">
        <v>264</v>
      </c>
      <c r="F70" s="47"/>
      <c r="H70" s="35" t="str">
        <f>IF(E51="Sepi Ayah","WALI HAKIM",C70)</f>
        <v>WALI NASAB</v>
      </c>
    </row>
    <row r="71" spans="1:9" hidden="1">
      <c r="A71" s="47"/>
      <c r="B71" s="190" t="str">
        <f>IF(C70="WALI HAKIM","","Hubungan Wali Nasab")</f>
        <v>Hubungan Wali Nasab</v>
      </c>
      <c r="C71" s="35" t="str">
        <f>IF(E101=1,"-",H73)</f>
        <v>AYAH KANDUNG</v>
      </c>
      <c r="D71" s="45" t="s">
        <v>385</v>
      </c>
      <c r="E71" s="55" t="s">
        <v>264</v>
      </c>
      <c r="F71" s="47"/>
      <c r="H71" s="35" t="str">
        <f>IF(H70="WALI HAKIM","-",C71)</f>
        <v>AYAH KANDUNG</v>
      </c>
      <c r="I71" s="35" t="str">
        <f>IF(H70="WALI NASAB",H71,H72)</f>
        <v>AYAH KANDUNG</v>
      </c>
    </row>
    <row r="72" spans="1:9" hidden="1">
      <c r="A72" s="47"/>
      <c r="B72" s="190" t="str">
        <f>IF(C70="WALI NASAB","","Sebab Wali Hakim")</f>
        <v/>
      </c>
      <c r="C72" s="35" t="str">
        <f>IF(E101=1,H73,"-")</f>
        <v>-</v>
      </c>
      <c r="D72" s="45" t="s">
        <v>385</v>
      </c>
      <c r="E72" s="55" t="s">
        <v>264</v>
      </c>
      <c r="F72" s="47"/>
      <c r="H72" s="35" t="str">
        <f>IF(E51="Sepi Ayah","SEPI WALI",(IF(H70="WALI NASAB","-",C72)))</f>
        <v>-</v>
      </c>
    </row>
    <row r="73" spans="1:9">
      <c r="A73" s="47"/>
      <c r="B73" s="195" t="str">
        <f>IF(E101=1,B72,B71)</f>
        <v>Hubungan Wali Nasab</v>
      </c>
      <c r="C73" s="33" t="s">
        <v>478</v>
      </c>
      <c r="D73" s="45"/>
      <c r="E73" s="55" t="s">
        <v>264</v>
      </c>
      <c r="F73" s="47"/>
      <c r="H73" s="35" t="str">
        <f>C73</f>
        <v>AYAH KANDUNG</v>
      </c>
      <c r="I73" s="35" t="e" cm="1">
        <f t="array" aca="1" ref="I73" ca="1">_xlfn.IFS(H73="MIRUDA (TIDAK DIKETAHUI KEBERADAANNYA)",1,H73="WALI SAKIT AYAN/ HILANG AKAL SEMENTARA",2,TRUE,0)</f>
        <v>#NAME?</v>
      </c>
    </row>
    <row r="74" spans="1:9" ht="17.25" customHeight="1">
      <c r="A74" s="47"/>
      <c r="B74" s="196" t="s">
        <v>401</v>
      </c>
      <c r="C74" s="268" t="s">
        <v>434</v>
      </c>
      <c r="D74" s="269"/>
      <c r="E74" s="55"/>
      <c r="F74" s="47"/>
    </row>
    <row r="75" spans="1:9">
      <c r="A75" s="47"/>
      <c r="B75" s="46" t="s">
        <v>224</v>
      </c>
      <c r="C75" s="236" t="s">
        <v>471</v>
      </c>
      <c r="D75" s="236"/>
      <c r="E75" s="55" t="s">
        <v>263</v>
      </c>
      <c r="F75" s="47"/>
      <c r="H75" s="35" t="str">
        <f>UPPER(IF(H70="WALI HAKIM","-",(IF($C$71="AYAH KANDUNG",H51,C75))))</f>
        <v>SAMIUN</v>
      </c>
      <c r="I75" s="35" t="str">
        <f>H75&amp;" Bin "&amp;H76</f>
        <v>SAMIUN Bin WASNURI</v>
      </c>
    </row>
    <row r="76" spans="1:9">
      <c r="A76" s="47"/>
      <c r="B76" s="46" t="s">
        <v>258</v>
      </c>
      <c r="C76" s="31" t="s">
        <v>472</v>
      </c>
      <c r="D76" s="45" t="s">
        <v>386</v>
      </c>
      <c r="E76" s="55" t="s">
        <v>263</v>
      </c>
      <c r="F76" s="47"/>
      <c r="H76" s="35" t="str">
        <f>UPPER(IF(H70="WALI HAKIM","-",IF(OR($C$71="SAUDARA SEKANDUNG",$C$71="SAUDARA SEAYAH"),I51,IF(C71="AYAH KANDUNG",D51,C76))))</f>
        <v>WASNURI</v>
      </c>
    </row>
    <row r="77" spans="1:9">
      <c r="A77" s="47"/>
      <c r="B77" s="46" t="s">
        <v>178</v>
      </c>
      <c r="C77" s="188" t="s">
        <v>473</v>
      </c>
      <c r="D77" s="32"/>
      <c r="E77" s="55" t="s">
        <v>263</v>
      </c>
      <c r="F77" s="47"/>
      <c r="H77" s="36" t="str">
        <f>IF(H70="WALI HAKIM","-",IF($C$71="AYAH KANDUNG",H52,C77))</f>
        <v>3327031103810011</v>
      </c>
    </row>
    <row r="78" spans="1:9">
      <c r="A78" s="47"/>
      <c r="B78" s="46" t="s">
        <v>179</v>
      </c>
      <c r="C78" s="32" t="s">
        <v>193</v>
      </c>
      <c r="D78" s="117">
        <v>29656</v>
      </c>
      <c r="E78" s="55" t="s">
        <v>263</v>
      </c>
      <c r="F78" s="47"/>
      <c r="H78" s="36" t="str">
        <f>IF(H70="WALI HAKIM","-",(IF($C$71="AYAH KANDUNG",H53,(UPPER(C78&amp;", "&amp;TEXT(D78,"D MMMM YYYY"))))))</f>
        <v>PEMALANG, 11 MARET 1981</v>
      </c>
    </row>
    <row r="79" spans="1:9">
      <c r="A79" s="47"/>
      <c r="B79" s="46" t="s">
        <v>181</v>
      </c>
      <c r="C79" s="32" t="s">
        <v>163</v>
      </c>
      <c r="D79" s="32"/>
      <c r="E79" s="55" t="s">
        <v>262</v>
      </c>
      <c r="F79" s="47"/>
      <c r="H79" s="35" t="str">
        <f>IF(H70="WALI HAKIM","-",IF($C$71="AYAH KANDUNG",H54,C79))</f>
        <v>INDONESIA</v>
      </c>
    </row>
    <row r="80" spans="1:9">
      <c r="A80" s="47"/>
      <c r="B80" s="46" t="s">
        <v>182</v>
      </c>
      <c r="C80" s="267" t="s">
        <v>156</v>
      </c>
      <c r="D80" s="267"/>
      <c r="E80" s="55" t="s">
        <v>266</v>
      </c>
      <c r="F80" s="47"/>
      <c r="H80" s="35" t="str">
        <f>IF(H70="WALI HAKIM","-",IF($C$71="AYAH KANDUNG",H55,C80))</f>
        <v>ISLAM</v>
      </c>
    </row>
    <row r="81" spans="1:8">
      <c r="A81" s="47"/>
      <c r="B81" s="46" t="s">
        <v>183</v>
      </c>
      <c r="C81" s="32" t="s">
        <v>168</v>
      </c>
      <c r="D81" s="32"/>
      <c r="E81" s="55" t="s">
        <v>262</v>
      </c>
      <c r="F81" s="47"/>
      <c r="H81" s="35" t="str">
        <f>IF(H70="WALI HAKIM","-",IF($C$71="AYAH KANDUNG",H56,C81))</f>
        <v>PETANI</v>
      </c>
    </row>
    <row r="82" spans="1:8">
      <c r="A82" s="47"/>
      <c r="B82" s="46" t="s">
        <v>184</v>
      </c>
      <c r="C82" s="235" t="s">
        <v>469</v>
      </c>
      <c r="D82" s="235"/>
      <c r="E82" s="55" t="s">
        <v>263</v>
      </c>
      <c r="F82" s="47"/>
      <c r="H82" s="35" t="str">
        <f>UPPER(IF(H70="WALI HAKIM","-",IF($C$71="AYAH KANDUNG",H57,C82)))</f>
        <v>DSN SIMADU RT 003 RW 008 DESA BADAK</v>
      </c>
    </row>
    <row r="83" spans="1:8" ht="16.5" thickBot="1">
      <c r="A83" s="47"/>
      <c r="C83" s="234" t="s">
        <v>470</v>
      </c>
      <c r="D83" s="234"/>
      <c r="E83" s="55" t="s">
        <v>263</v>
      </c>
      <c r="F83" s="47"/>
      <c r="H83" s="35" t="str">
        <f>UPPER(IF(H70="WALI HAKIM","-",IF($C$71="AYAH KANDUNG",H58,C83)))</f>
        <v>KECAMATAN BELIK KABUPATEN PEMALANG</v>
      </c>
    </row>
    <row r="84" spans="1:8" ht="5.25" customHeight="1" thickTop="1">
      <c r="A84" s="47"/>
      <c r="F84" s="47"/>
    </row>
    <row r="85" spans="1:8">
      <c r="A85" s="47"/>
      <c r="B85" s="49"/>
      <c r="C85" s="49"/>
      <c r="D85" s="49"/>
      <c r="E85" s="49"/>
      <c r="F85" s="47"/>
    </row>
    <row r="86" spans="1:8" ht="4.5" customHeight="1"/>
    <row r="87" spans="1:8" ht="9" hidden="1" customHeight="1"/>
    <row r="88" spans="1:8" ht="9" hidden="1" customHeight="1"/>
    <row r="89" spans="1:8" ht="9" hidden="1" customHeight="1"/>
    <row r="90" spans="1:8" ht="9" hidden="1" customHeight="1"/>
    <row r="91" spans="1:8" ht="9" hidden="1" customHeight="1"/>
    <row r="92" spans="1:8" ht="9" hidden="1" customHeight="1"/>
    <row r="93" spans="1:8" ht="9" hidden="1" customHeight="1"/>
    <row r="94" spans="1:8" ht="9" hidden="1" customHeight="1"/>
    <row r="95" spans="1:8" ht="9" hidden="1" customHeight="1"/>
    <row r="96" spans="1:8" ht="9" hidden="1" customHeight="1"/>
    <row r="97" spans="2:9" ht="9" hidden="1" customHeight="1"/>
    <row r="98" spans="2:9" ht="9" hidden="1" customHeight="1"/>
    <row r="99" spans="2:9" hidden="1">
      <c r="B99" s="35" t="s">
        <v>225</v>
      </c>
      <c r="C99" s="35" t="s">
        <v>406</v>
      </c>
    </row>
    <row r="100" spans="2:9" hidden="1">
      <c r="B100" s="35" t="s">
        <v>226</v>
      </c>
      <c r="C100" s="35" t="s">
        <v>407</v>
      </c>
    </row>
    <row r="101" spans="2:9" ht="16.5" hidden="1" thickBot="1">
      <c r="E101" s="34">
        <f>IF(C70="WALI HAKIM",1,2)</f>
        <v>2</v>
      </c>
    </row>
    <row r="102" spans="2:9" hidden="1">
      <c r="B102" s="119" t="str">
        <f>IF($H$70="WALI NASAB",H102,"")</f>
        <v>AYAH KANDUNG</v>
      </c>
      <c r="C102" s="122" t="str">
        <f>IF($H$70="WALI HAKIM",I102,"")</f>
        <v/>
      </c>
      <c r="E102" s="35" t="str">
        <f>IF($E$101=1,C102,B102)</f>
        <v>AYAH KANDUNG</v>
      </c>
      <c r="H102" s="35" t="str">
        <f>IF($E$51="HIDUP","AYAH KANDUNG","-")</f>
        <v>AYAH KANDUNG</v>
      </c>
      <c r="I102" s="35" t="s">
        <v>239</v>
      </c>
    </row>
    <row r="103" spans="2:9" hidden="1">
      <c r="B103" s="120" t="str">
        <f t="shared" ref="B103:B122" si="1">IF($H$70="WALI NASAB",H103,"")</f>
        <v>KAKEK KANDUNG</v>
      </c>
      <c r="C103" s="123" t="str">
        <f t="shared" ref="C103:C107" si="2">IF($H$70="WALI HAKIM",I103,"")</f>
        <v/>
      </c>
      <c r="E103" s="35" t="str">
        <f>IF($E$51="HIDUP","",IF($E$101=1,C103,B103))</f>
        <v/>
      </c>
      <c r="H103" s="35" t="s">
        <v>227</v>
      </c>
      <c r="I103" s="35" t="s">
        <v>236</v>
      </c>
    </row>
    <row r="104" spans="2:9" hidden="1">
      <c r="B104" s="120" t="str">
        <f t="shared" si="1"/>
        <v>AYAH KAKEK KANDUNG</v>
      </c>
      <c r="C104" s="123" t="str">
        <f t="shared" si="2"/>
        <v/>
      </c>
      <c r="E104" s="35" t="str">
        <f>IF($E$51="HIDUP","",IF($E$101=1,C104,B104))</f>
        <v/>
      </c>
      <c r="H104" s="35" t="s">
        <v>228</v>
      </c>
      <c r="I104" s="35" t="s">
        <v>320</v>
      </c>
    </row>
    <row r="105" spans="2:9" hidden="1">
      <c r="B105" s="120" t="str">
        <f t="shared" si="1"/>
        <v>SAUDARA SEKANDUNG</v>
      </c>
      <c r="C105" s="123" t="str">
        <f t="shared" si="2"/>
        <v/>
      </c>
      <c r="E105" s="35" t="str">
        <f>IF($E$51="HIDUP","",IF($E$101=1,C105,B105))</f>
        <v/>
      </c>
      <c r="H105" s="35" t="s">
        <v>229</v>
      </c>
      <c r="I105" s="35" t="s">
        <v>240</v>
      </c>
    </row>
    <row r="106" spans="2:9" hidden="1">
      <c r="B106" s="120" t="str">
        <f t="shared" si="1"/>
        <v>SAUDARA SEAYAH</v>
      </c>
      <c r="C106" s="123" t="str">
        <f t="shared" si="2"/>
        <v/>
      </c>
      <c r="E106" s="35" t="str">
        <f>IF($E$51="HIDUP","",IF($E$101=1,C106,B106))</f>
        <v/>
      </c>
      <c r="H106" s="35" t="s">
        <v>230</v>
      </c>
      <c r="I106" s="35" t="s">
        <v>237</v>
      </c>
    </row>
    <row r="107" spans="2:9" ht="16.5" hidden="1" thickBot="1">
      <c r="B107" s="120" t="str">
        <f t="shared" si="1"/>
        <v>ANAK SAUDARA SEKANDUNG</v>
      </c>
      <c r="C107" s="124" t="str">
        <f t="shared" si="2"/>
        <v/>
      </c>
      <c r="E107" s="35" t="str">
        <f>IF($E$51="HIDUP","",IF($E$101=1,C107,B107))</f>
        <v/>
      </c>
      <c r="H107" s="35" t="s">
        <v>231</v>
      </c>
      <c r="I107" s="35" t="s">
        <v>399</v>
      </c>
    </row>
    <row r="108" spans="2:9" hidden="1">
      <c r="B108" s="120" t="str">
        <f t="shared" si="1"/>
        <v>ANAK SAUDARA SEAYAH</v>
      </c>
      <c r="E108" s="35" t="str">
        <f t="shared" ref="E108:E122" si="3">IF($E$51="HIDUP","",IF($E$101=1,"",B108))</f>
        <v/>
      </c>
      <c r="H108" s="35" t="s">
        <v>232</v>
      </c>
    </row>
    <row r="109" spans="2:9" hidden="1">
      <c r="B109" s="120" t="str">
        <f t="shared" si="1"/>
        <v>PAMAN KANDUNG</v>
      </c>
      <c r="E109" s="35" t="str">
        <f t="shared" si="3"/>
        <v/>
      </c>
      <c r="H109" s="35" t="s">
        <v>233</v>
      </c>
    </row>
    <row r="110" spans="2:9" hidden="1">
      <c r="B110" s="120" t="str">
        <f t="shared" si="1"/>
        <v>PAMAN SEAYAH</v>
      </c>
      <c r="C110" s="35" t="s">
        <v>253</v>
      </c>
      <c r="E110" s="35" t="str">
        <f t="shared" si="3"/>
        <v/>
      </c>
      <c r="H110" s="35" t="s">
        <v>234</v>
      </c>
    </row>
    <row r="111" spans="2:9" hidden="1">
      <c r="B111" s="120" t="str">
        <f t="shared" si="1"/>
        <v>ANAK PAMAN (KANDUNG)</v>
      </c>
      <c r="C111" s="35" t="s">
        <v>254</v>
      </c>
      <c r="E111" s="35" t="str">
        <f t="shared" si="3"/>
        <v/>
      </c>
      <c r="H111" s="35" t="s">
        <v>336</v>
      </c>
    </row>
    <row r="112" spans="2:9" hidden="1">
      <c r="B112" s="120" t="str">
        <f t="shared" si="1"/>
        <v>ANAK PAMAN (SEAYAH)</v>
      </c>
      <c r="C112" s="35" t="s">
        <v>255</v>
      </c>
      <c r="E112" s="35" t="str">
        <f t="shared" si="3"/>
        <v/>
      </c>
      <c r="H112" s="35" t="s">
        <v>332</v>
      </c>
    </row>
    <row r="113" spans="2:8" hidden="1">
      <c r="B113" s="120" t="str">
        <f t="shared" si="1"/>
        <v>CUCU PAMAN (KANDUNG)</v>
      </c>
      <c r="C113" s="35" t="s">
        <v>256</v>
      </c>
      <c r="E113" s="35" t="str">
        <f t="shared" si="3"/>
        <v/>
      </c>
      <c r="H113" s="35" t="s">
        <v>337</v>
      </c>
    </row>
    <row r="114" spans="2:8" hidden="1">
      <c r="B114" s="120" t="str">
        <f t="shared" si="1"/>
        <v>CUCU PAMAN (SEAYAH)</v>
      </c>
      <c r="C114" s="39"/>
      <c r="D114" s="39"/>
      <c r="E114" s="35" t="str">
        <f t="shared" si="3"/>
        <v/>
      </c>
      <c r="G114" s="39"/>
      <c r="H114" s="39" t="s">
        <v>333</v>
      </c>
    </row>
    <row r="115" spans="2:8" hidden="1">
      <c r="B115" s="120" t="str">
        <f t="shared" si="1"/>
        <v>PAMAN AYAH (KANDUNG)</v>
      </c>
      <c r="C115" s="39" t="s">
        <v>301</v>
      </c>
      <c r="D115" s="39"/>
      <c r="E115" s="35" t="str">
        <f t="shared" si="3"/>
        <v/>
      </c>
      <c r="G115" s="39"/>
      <c r="H115" s="39" t="s">
        <v>338</v>
      </c>
    </row>
    <row r="116" spans="2:8" hidden="1">
      <c r="B116" s="120" t="str">
        <f t="shared" si="1"/>
        <v>PAMAN AYAH (SEAYAH)</v>
      </c>
      <c r="C116" s="35" t="s">
        <v>302</v>
      </c>
      <c r="E116" s="35" t="str">
        <f t="shared" si="3"/>
        <v/>
      </c>
      <c r="H116" s="35" t="s">
        <v>334</v>
      </c>
    </row>
    <row r="117" spans="2:8" hidden="1">
      <c r="B117" s="120" t="str">
        <f t="shared" si="1"/>
        <v>ANAK PAMAN AYAH (KANDUNG)</v>
      </c>
      <c r="E117" s="35" t="str">
        <f t="shared" si="3"/>
        <v/>
      </c>
      <c r="H117" s="35" t="s">
        <v>339</v>
      </c>
    </row>
    <row r="118" spans="2:8" hidden="1">
      <c r="B118" s="120" t="str">
        <f t="shared" si="1"/>
        <v>ANAK PAMAN AYAH (SEAYAH)</v>
      </c>
      <c r="E118" s="35" t="str">
        <f t="shared" si="3"/>
        <v/>
      </c>
      <c r="H118" s="35" t="s">
        <v>335</v>
      </c>
    </row>
    <row r="119" spans="2:8" hidden="1">
      <c r="B119" s="120" t="str">
        <f t="shared" si="1"/>
        <v>PAMAN KAKEK (KANDUNG)</v>
      </c>
      <c r="E119" s="35" t="str">
        <f t="shared" si="3"/>
        <v/>
      </c>
      <c r="H119" s="35" t="s">
        <v>340</v>
      </c>
    </row>
    <row r="120" spans="2:8" hidden="1">
      <c r="B120" s="120" t="str">
        <f t="shared" si="1"/>
        <v>PAMAN KAKEK (SEAYAH)</v>
      </c>
      <c r="E120" s="35" t="str">
        <f t="shared" si="3"/>
        <v/>
      </c>
      <c r="H120" s="35" t="s">
        <v>331</v>
      </c>
    </row>
    <row r="121" spans="2:8" hidden="1">
      <c r="B121" s="120" t="str">
        <f t="shared" si="1"/>
        <v>ANAK PAMAN KAKEK (KANDUNG)</v>
      </c>
      <c r="E121" s="35" t="str">
        <f t="shared" si="3"/>
        <v/>
      </c>
      <c r="H121" s="35" t="s">
        <v>330</v>
      </c>
    </row>
    <row r="122" spans="2:8" ht="16.5" hidden="1" thickBot="1">
      <c r="B122" s="121" t="str">
        <f t="shared" si="1"/>
        <v>ANAK PAMAN KAKEK (SEAYAH)</v>
      </c>
      <c r="E122" s="35" t="str">
        <f t="shared" si="3"/>
        <v/>
      </c>
      <c r="H122" s="35" t="s">
        <v>329</v>
      </c>
    </row>
    <row r="126" spans="2:8" hidden="1">
      <c r="B126" s="35" t="s">
        <v>185</v>
      </c>
    </row>
    <row r="127" spans="2:8" hidden="1">
      <c r="B127" s="35" t="s">
        <v>186</v>
      </c>
    </row>
    <row r="128" spans="2:8" hidden="1">
      <c r="B128" s="35" t="s">
        <v>187</v>
      </c>
    </row>
    <row r="132" spans="2:2" hidden="1">
      <c r="B132" s="35" t="s">
        <v>142</v>
      </c>
    </row>
    <row r="133" spans="2:2" hidden="1">
      <c r="B133" s="35" t="s">
        <v>143</v>
      </c>
    </row>
    <row r="136" spans="2:2" hidden="1">
      <c r="B136" s="35" t="s">
        <v>145</v>
      </c>
    </row>
    <row r="137" spans="2:2" hidden="1">
      <c r="B137" s="35" t="s">
        <v>146</v>
      </c>
    </row>
    <row r="138" spans="2:2" hidden="1">
      <c r="B138" s="35" t="s">
        <v>147</v>
      </c>
    </row>
    <row r="139" spans="2:2" hidden="1">
      <c r="B139" s="35" t="s">
        <v>148</v>
      </c>
    </row>
    <row r="141" spans="2:2" hidden="1">
      <c r="B141" s="35" t="s">
        <v>190</v>
      </c>
    </row>
    <row r="142" spans="2:2" hidden="1">
      <c r="B142" s="35" t="s">
        <v>191</v>
      </c>
    </row>
    <row r="143" spans="2:2" hidden="1">
      <c r="B143" s="35" t="s">
        <v>192</v>
      </c>
    </row>
    <row r="145" spans="2:2" hidden="1">
      <c r="B145" s="35" t="s">
        <v>150</v>
      </c>
    </row>
    <row r="146" spans="2:2" hidden="1">
      <c r="B146" s="35" t="s">
        <v>151</v>
      </c>
    </row>
    <row r="147" spans="2:2" hidden="1">
      <c r="B147" s="35" t="s">
        <v>166</v>
      </c>
    </row>
    <row r="148" spans="2:2" hidden="1">
      <c r="B148" s="35" t="s">
        <v>152</v>
      </c>
    </row>
    <row r="150" spans="2:2" hidden="1">
      <c r="B150" s="35" t="s">
        <v>163</v>
      </c>
    </row>
    <row r="151" spans="2:2" hidden="1">
      <c r="B151" s="35" t="s">
        <v>164</v>
      </c>
    </row>
    <row r="153" spans="2:2" hidden="1">
      <c r="B153" s="35" t="s">
        <v>156</v>
      </c>
    </row>
    <row r="154" spans="2:2" hidden="1">
      <c r="B154" s="35" t="s">
        <v>157</v>
      </c>
    </row>
    <row r="155" spans="2:2" hidden="1">
      <c r="B155" s="35" t="s">
        <v>158</v>
      </c>
    </row>
    <row r="156" spans="2:2" hidden="1">
      <c r="B156" s="35" t="s">
        <v>159</v>
      </c>
    </row>
    <row r="157" spans="2:2" hidden="1">
      <c r="B157" s="35" t="s">
        <v>160</v>
      </c>
    </row>
    <row r="158" spans="2:2" hidden="1">
      <c r="B158" s="35" t="s">
        <v>161</v>
      </c>
    </row>
    <row r="159" spans="2:2" hidden="1">
      <c r="B159" s="35" t="s">
        <v>162</v>
      </c>
    </row>
    <row r="161" spans="2:2" hidden="1">
      <c r="B161" s="35" t="s">
        <v>153</v>
      </c>
    </row>
    <row r="162" spans="2:2" hidden="1">
      <c r="B162" s="35" t="s">
        <v>154</v>
      </c>
    </row>
    <row r="164" spans="2:2" hidden="1">
      <c r="B164" s="35" t="s">
        <v>153</v>
      </c>
    </row>
    <row r="165" spans="2:2" hidden="1">
      <c r="B165" s="35" t="s">
        <v>155</v>
      </c>
    </row>
    <row r="166" spans="2:2" hidden="1">
      <c r="B166" s="35" t="s">
        <v>154</v>
      </c>
    </row>
    <row r="168" spans="2:2" hidden="1">
      <c r="B168" s="35" t="s">
        <v>175</v>
      </c>
    </row>
    <row r="169" spans="2:2" hidden="1">
      <c r="B169" s="35" t="s">
        <v>167</v>
      </c>
    </row>
    <row r="170" spans="2:2" hidden="1">
      <c r="B170" s="35" t="s">
        <v>168</v>
      </c>
    </row>
    <row r="171" spans="2:2" hidden="1">
      <c r="B171" s="35" t="s">
        <v>169</v>
      </c>
    </row>
    <row r="172" spans="2:2" hidden="1">
      <c r="B172" s="35" t="s">
        <v>170</v>
      </c>
    </row>
    <row r="173" spans="2:2" hidden="1">
      <c r="B173" s="35" t="s">
        <v>173</v>
      </c>
    </row>
    <row r="174" spans="2:2" hidden="1">
      <c r="B174" s="35" t="s">
        <v>171</v>
      </c>
    </row>
    <row r="175" spans="2:2" hidden="1">
      <c r="B175" s="35" t="s">
        <v>172</v>
      </c>
    </row>
    <row r="176" spans="2:2" hidden="1">
      <c r="B176" s="35" t="s">
        <v>174</v>
      </c>
    </row>
    <row r="179" spans="2:2" hidden="1">
      <c r="B179" s="35" t="s">
        <v>204</v>
      </c>
    </row>
    <row r="180" spans="2:2" hidden="1">
      <c r="B180" s="35" t="s">
        <v>201</v>
      </c>
    </row>
    <row r="181" spans="2:2" hidden="1">
      <c r="B181" s="35" t="s">
        <v>202</v>
      </c>
    </row>
    <row r="182" spans="2:2" hidden="1">
      <c r="B182" s="35" t="s">
        <v>203</v>
      </c>
    </row>
    <row r="183" spans="2:2" hidden="1">
      <c r="B183" s="35" t="s">
        <v>205</v>
      </c>
    </row>
    <row r="184" spans="2:2" hidden="1">
      <c r="B184" s="35" t="s">
        <v>206</v>
      </c>
    </row>
    <row r="185" spans="2:2" hidden="1">
      <c r="B185" s="35" t="s">
        <v>207</v>
      </c>
    </row>
    <row r="186" spans="2:2" hidden="1">
      <c r="B186" s="35" t="s">
        <v>208</v>
      </c>
    </row>
    <row r="187" spans="2:2" hidden="1">
      <c r="B187" s="35" t="s">
        <v>209</v>
      </c>
    </row>
    <row r="188" spans="2:2" hidden="1">
      <c r="B188" s="35" t="s">
        <v>210</v>
      </c>
    </row>
    <row r="189" spans="2:2" hidden="1">
      <c r="B189" s="35" t="s">
        <v>211</v>
      </c>
    </row>
    <row r="190" spans="2:2" hidden="1">
      <c r="B190" s="35" t="s">
        <v>212</v>
      </c>
    </row>
    <row r="191" spans="2:2" hidden="1">
      <c r="B191" s="35" t="s">
        <v>213</v>
      </c>
    </row>
    <row r="192" spans="2:2" hidden="1">
      <c r="B192" s="35" t="s">
        <v>214</v>
      </c>
    </row>
    <row r="193" spans="2:2" hidden="1">
      <c r="B193" s="35" t="s">
        <v>215</v>
      </c>
    </row>
    <row r="194" spans="2:2" hidden="1">
      <c r="B194" s="35" t="s">
        <v>216</v>
      </c>
    </row>
    <row r="195" spans="2:2" hidden="1">
      <c r="B195" s="35" t="s">
        <v>217</v>
      </c>
    </row>
    <row r="196" spans="2:2" hidden="1">
      <c r="B196" s="35" t="s">
        <v>218</v>
      </c>
    </row>
    <row r="197" spans="2:2" hidden="1">
      <c r="B197" s="35" t="s">
        <v>219</v>
      </c>
    </row>
    <row r="198" spans="2:2" hidden="1">
      <c r="B198" s="35" t="s">
        <v>220</v>
      </c>
    </row>
    <row r="199" spans="2:2" hidden="1">
      <c r="B199" s="35" t="s">
        <v>221</v>
      </c>
    </row>
    <row r="200" spans="2:2" hidden="1">
      <c r="B200" s="35" t="s">
        <v>222</v>
      </c>
    </row>
    <row r="201" spans="2:2" hidden="1">
      <c r="B201" s="35" t="s">
        <v>223</v>
      </c>
    </row>
  </sheetData>
  <sheetProtection algorithmName="SHA-512" hashValue="YO9RRy6Lewo/j1DgfYD0wGcP0D4c2CCSJWFpDL6o3jvUn+gnv3yCvzbnqoTYnTvYh+deDNpwHBXJ2Slie0X9uA==" saltValue="8HoE20sMmGlt/zOrcblBzQ==" spinCount="100000" sheet="1" selectLockedCells="1"/>
  <dataConsolidate/>
  <mergeCells count="34">
    <mergeCell ref="B13:C13"/>
    <mergeCell ref="B41:C41"/>
    <mergeCell ref="D9:E9"/>
    <mergeCell ref="C83:D83"/>
    <mergeCell ref="C66:D66"/>
    <mergeCell ref="C67:D67"/>
    <mergeCell ref="B69:D69"/>
    <mergeCell ref="B68:D68"/>
    <mergeCell ref="C80:D80"/>
    <mergeCell ref="C82:D82"/>
    <mergeCell ref="C75:D75"/>
    <mergeCell ref="C74:D74"/>
    <mergeCell ref="B40:D40"/>
    <mergeCell ref="B12:D12"/>
    <mergeCell ref="C58:D58"/>
    <mergeCell ref="D8:E8"/>
    <mergeCell ref="D10:E10"/>
    <mergeCell ref="M2:N2"/>
    <mergeCell ref="B2:D2"/>
    <mergeCell ref="C11:D11"/>
    <mergeCell ref="M10:O10"/>
    <mergeCell ref="D3:E6"/>
    <mergeCell ref="D7:E7"/>
    <mergeCell ref="C57:D57"/>
    <mergeCell ref="C42:D42"/>
    <mergeCell ref="C48:D48"/>
    <mergeCell ref="C49:D49"/>
    <mergeCell ref="C38:D38"/>
    <mergeCell ref="C39:D39"/>
    <mergeCell ref="C21:D21"/>
    <mergeCell ref="C20:D20"/>
    <mergeCell ref="C29:D29"/>
    <mergeCell ref="C30:D30"/>
    <mergeCell ref="C14:D14"/>
  </mergeCells>
  <phoneticPr fontId="24" type="noConversion"/>
  <conditionalFormatting sqref="D8">
    <cfRule type="containsText" dxfId="2" priority="2" operator="containsText" text="Salah">
      <formula>NOT(ISERROR(SEARCH("Salah",D8)))</formula>
    </cfRule>
  </conditionalFormatting>
  <conditionalFormatting sqref="O4:O9 O11">
    <cfRule type="containsText" dxfId="1" priority="1" operator="containsText" text="Tidak">
      <formula>NOT(ISERROR(SEARCH("Tidak",O4)))</formula>
    </cfRule>
  </conditionalFormatting>
  <dataValidations count="20">
    <dataValidation type="list" allowBlank="1" showInputMessage="1" showErrorMessage="1" sqref="C19">
      <formula1>$B$136:$B$139</formula1>
    </dataValidation>
    <dataValidation type="list" allowBlank="1" showInputMessage="1" showErrorMessage="1" sqref="C4 F4:G4">
      <formula1>$B$132:$B$133</formula1>
    </dataValidation>
    <dataValidation type="list" allowBlank="1" showInputMessage="1" showErrorMessage="1" sqref="E51:F51 E23:F23">
      <formula1>$B$145:$B$148</formula1>
    </dataValidation>
    <dataValidation type="list" allowBlank="1" showInputMessage="1" showErrorMessage="1" sqref="E57:F57 E29:F29">
      <formula1>$B$161:$B$162</formula1>
    </dataValidation>
    <dataValidation type="list" allowBlank="1" showInputMessage="1" showErrorMessage="1" sqref="C27 C36 C64 C55">
      <formula1>$B$153:$B$159</formula1>
    </dataValidation>
    <dataValidation type="list" allowBlank="1" showInputMessage="1" showErrorMessage="1" sqref="C46 C26 C63 C35 C54 C18 C79">
      <formula1>$B$150:$B$151</formula1>
    </dataValidation>
    <dataValidation type="list" allowBlank="1" showInputMessage="1" showErrorMessage="1" sqref="C28 C81 C56 C17 C45">
      <formula1>$B$169:$B$176</formula1>
    </dataValidation>
    <dataValidation type="list" allowBlank="1" showInputMessage="1" showErrorMessage="1" sqref="C37 C65">
      <formula1>$B$168:$B$176</formula1>
    </dataValidation>
    <dataValidation type="list" allowBlank="1" showInputMessage="1" showErrorMessage="1" sqref="E66:F66 E38:F38">
      <formula1>$B$164:$B$166</formula1>
    </dataValidation>
    <dataValidation type="list" allowBlank="1" showInputMessage="1" showErrorMessage="1" sqref="E60:F60 E32:F32">
      <formula1>$B$145:$B$146</formula1>
    </dataValidation>
    <dataValidation type="list" allowBlank="1" showInputMessage="1" showErrorMessage="1" sqref="D19">
      <formula1>$B$126:$B$128</formula1>
    </dataValidation>
    <dataValidation type="list" allowBlank="1" showInputMessage="1" showErrorMessage="1" sqref="C47">
      <formula1>$B$141:$B$143</formula1>
    </dataValidation>
    <dataValidation type="list" allowBlank="1" showInputMessage="1" showErrorMessage="1" sqref="E11:F11">
      <formula1>$G$10:$G$11</formula1>
    </dataValidation>
    <dataValidation type="list" allowBlank="1" showInputMessage="1" showErrorMessage="1" sqref="C10">
      <formula1>$B$179:$B$201</formula1>
    </dataValidation>
    <dataValidation type="list" allowBlank="1" showInputMessage="1" showErrorMessage="1" sqref="C70">
      <formula1>$B$99:$B$100</formula1>
    </dataValidation>
    <dataValidation type="list" allowBlank="1" showInputMessage="1" showErrorMessage="1" sqref="D15 D43">
      <formula1>$C$110:$C$113</formula1>
    </dataValidation>
    <dataValidation type="list" allowBlank="1" showInputMessage="1" showErrorMessage="1" sqref="E13 E41">
      <formula1>$C$115:$C$116</formula1>
    </dataValidation>
    <dataValidation type="textLength" operator="equal" showInputMessage="1" showErrorMessage="1" errorTitle="Periksa Kembali!" error="Nuridin:_x000a_NIK wajib 16 digit!" promptTitle="NIK" prompt="Awali dengan (')" sqref="C15 C24 C33 C43 C52 C61 C77">
      <formula1>16</formula1>
    </dataValidation>
    <dataValidation type="list" allowBlank="1" showInputMessage="1" showErrorMessage="1" sqref="C73">
      <formula1>$E$102:$E$122</formula1>
    </dataValidation>
    <dataValidation type="list" allowBlank="1" showInputMessage="1" showErrorMessage="1" sqref="E14 E42">
      <formula1>$C$99:$C$100</formula1>
    </dataValidation>
  </dataValidations>
  <hyperlinks>
    <hyperlink ref="M4" location="RDS!Print_Area" display="RDS"/>
    <hyperlink ref="M5" location="Kendali!Print_Area" display="Kendali"/>
    <hyperlink ref="M6" location="'N2'!Print_Area" display="N2- Permohonan"/>
    <hyperlink ref="M7" location="'N4'!Print_Area" display="N4- Persetujuan"/>
    <hyperlink ref="N4" location="'N1-Putra'!Print_Area" display="N1- Putra"/>
    <hyperlink ref="N5" location="'N1-Putri'!Print_Area" display="N1- Putri"/>
    <hyperlink ref="N6" location="'N5'!Print_Area" display="N5- Izin Pengasuh"/>
    <hyperlink ref="N7" location="SKW!Print_Area" display="SKW"/>
    <hyperlink ref="N8" location="'Super WH'!Print_Area" display="Super WH"/>
    <hyperlink ref="N9" location="Dispensasi!Print_Area" display="Dispensai"/>
    <hyperlink ref="M11" location="'RDS Operator'!A1" display="RDS WhatsApp"/>
    <hyperlink ref="N11" location="Kamus!A1" display="Kamus Data"/>
  </hyperlinks>
  <pageMargins left="0.31" right="0.28000000000000003" top="0.47" bottom="0.75" header="0.3" footer="0.3"/>
  <pageSetup paperSize="10000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Kamus!$G$34:$G$40</xm:f>
          </x14:formula1>
          <xm:sqref>D10:E10</xm:sqref>
        </x14:dataValidation>
        <x14:dataValidation type="list" allowBlank="1" showInputMessage="1" showErrorMessage="1">
          <x14:formula1>
            <xm:f>Kamus!$G$12:$G$31</xm:f>
          </x14:formula1>
          <xm:sqref>C11:D11</xm:sqref>
        </x14:dataValidation>
        <x14:dataValidation type="list" allowBlank="1" showInputMessage="1" showErrorMessage="1">
          <x14:formula1>
            <xm:f>Kamus!$D$5:$D$9</xm:f>
          </x14:formula1>
          <xm:sqref>C6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61"/>
  <sheetViews>
    <sheetView showGridLines="0" topLeftCell="A31" zoomScale="110" zoomScaleNormal="110" workbookViewId="0">
      <selection activeCell="F30" sqref="F30"/>
    </sheetView>
  </sheetViews>
  <sheetFormatPr defaultColWidth="0" defaultRowHeight="14.25" zeroHeight="1"/>
  <cols>
    <col min="1" max="1" width="7" style="1" customWidth="1"/>
    <col min="2" max="2" width="5.140625" style="1" customWidth="1"/>
    <col min="3" max="3" width="3.28515625" style="56" customWidth="1"/>
    <col min="4" max="4" width="2.42578125" style="56" customWidth="1"/>
    <col min="5" max="5" width="18" style="56" customWidth="1"/>
    <col min="6" max="6" width="30.5703125" style="1" customWidth="1"/>
    <col min="7" max="7" width="11.5703125" style="56" customWidth="1"/>
    <col min="8" max="8" width="28" style="1" customWidth="1"/>
    <col min="9" max="9" width="5.140625" style="1" customWidth="1"/>
    <col min="10" max="10" width="7" style="1" customWidth="1"/>
    <col min="11" max="11" width="9.140625" style="1" hidden="1" customWidth="1"/>
    <col min="12" max="12" width="24.28515625" style="1" hidden="1" customWidth="1"/>
    <col min="13" max="13" width="10" style="1" hidden="1" customWidth="1"/>
    <col min="14" max="16384" width="9.140625" style="1" hidden="1"/>
  </cols>
  <sheetData>
    <row r="1" spans="2:13" ht="27.75" customHeight="1" thickBot="1">
      <c r="B1" s="273" t="s">
        <v>268</v>
      </c>
      <c r="C1" s="273"/>
      <c r="D1" s="273"/>
      <c r="E1" s="273"/>
      <c r="F1" s="273"/>
      <c r="G1" s="273"/>
      <c r="H1" s="274"/>
      <c r="I1" s="275"/>
    </row>
    <row r="2" spans="2:13" ht="20.25" customHeight="1">
      <c r="B2" s="27"/>
      <c r="C2" s="278" t="s">
        <v>270</v>
      </c>
      <c r="D2" s="278"/>
      <c r="E2" s="278"/>
      <c r="F2" s="278"/>
      <c r="G2" s="278"/>
      <c r="H2" s="278"/>
      <c r="I2" s="27"/>
    </row>
    <row r="3" spans="2:13" ht="20.25" customHeight="1">
      <c r="B3" s="27"/>
      <c r="C3" s="278" t="s">
        <v>74</v>
      </c>
      <c r="D3" s="278"/>
      <c r="E3" s="278"/>
      <c r="F3" s="278"/>
      <c r="G3" s="278"/>
      <c r="H3" s="278"/>
      <c r="I3" s="27"/>
    </row>
    <row r="4" spans="2:13" ht="9" customHeight="1">
      <c r="B4" s="27"/>
      <c r="C4" s="57"/>
      <c r="D4" s="57"/>
      <c r="E4" s="57"/>
      <c r="F4" s="28"/>
      <c r="G4" s="57"/>
      <c r="H4" s="28"/>
      <c r="I4" s="27"/>
    </row>
    <row r="5" spans="2:13" ht="15.75" customHeight="1">
      <c r="B5" s="27"/>
      <c r="C5" s="66" t="s">
        <v>61</v>
      </c>
      <c r="D5" s="223" t="s">
        <v>75</v>
      </c>
      <c r="E5" s="224"/>
      <c r="F5" s="59"/>
      <c r="G5" s="60"/>
      <c r="H5" s="59"/>
      <c r="I5" s="27"/>
    </row>
    <row r="6" spans="2:13" ht="15.75" customHeight="1">
      <c r="B6" s="27"/>
      <c r="C6" s="64"/>
      <c r="D6" s="225"/>
      <c r="E6" s="226" t="s">
        <v>76</v>
      </c>
      <c r="F6" s="58" t="str">
        <f>'ISIAN DATA'!H9</f>
        <v>KAMIS, 19 NOVEMBER 2026</v>
      </c>
      <c r="G6" s="60"/>
      <c r="H6" s="229" t="str">
        <f>PROPER('ISIAN DATA'!C10)&amp;" WIB"</f>
        <v>Jam : 08:30 WIB</v>
      </c>
      <c r="I6" s="27"/>
    </row>
    <row r="7" spans="2:13" ht="15.75" customHeight="1">
      <c r="B7" s="27"/>
      <c r="C7" s="64"/>
      <c r="D7" s="225"/>
      <c r="E7" s="226" t="s">
        <v>77</v>
      </c>
      <c r="F7" s="279" t="str">
        <f>'ISIAN DATA'!H11</f>
        <v>DSN SIMADU RT 003 RW 008 DESA BADAK KECAMATAN BELIK KABUPATEN PEMALANG</v>
      </c>
      <c r="G7" s="279"/>
      <c r="H7" s="279"/>
      <c r="I7" s="27"/>
    </row>
    <row r="8" spans="2:13" ht="15.75" customHeight="1">
      <c r="B8" s="27"/>
      <c r="C8" s="64"/>
      <c r="D8" s="225"/>
      <c r="E8" s="226" t="s">
        <v>269</v>
      </c>
      <c r="F8" s="228" t="s">
        <v>425</v>
      </c>
      <c r="G8" s="60"/>
      <c r="H8" s="59"/>
      <c r="I8" s="27"/>
    </row>
    <row r="9" spans="2:13" ht="15.75" customHeight="1">
      <c r="B9" s="27"/>
      <c r="C9" s="64"/>
      <c r="D9" s="225"/>
      <c r="E9" s="224"/>
      <c r="F9" s="59"/>
      <c r="G9" s="60"/>
      <c r="H9" s="59"/>
      <c r="I9" s="27"/>
    </row>
    <row r="10" spans="2:13" ht="15.75" customHeight="1">
      <c r="B10" s="27"/>
      <c r="C10" s="66" t="s">
        <v>64</v>
      </c>
      <c r="D10" s="223" t="s">
        <v>78</v>
      </c>
      <c r="E10" s="224"/>
      <c r="F10" s="59"/>
      <c r="G10" s="60"/>
      <c r="H10" s="59"/>
      <c r="I10" s="27"/>
    </row>
    <row r="11" spans="2:13" ht="15.75" customHeight="1">
      <c r="B11" s="27"/>
      <c r="C11" s="64"/>
      <c r="D11" s="225" t="s">
        <v>4</v>
      </c>
      <c r="E11" s="226" t="s">
        <v>244</v>
      </c>
      <c r="F11" s="280" t="str">
        <f>'ISIAN DATA'!H14</f>
        <v>AOFA ARDIAN FADILLAH AZIZ</v>
      </c>
      <c r="G11" s="280"/>
      <c r="H11" s="280"/>
      <c r="I11" s="27"/>
    </row>
    <row r="12" spans="2:13" ht="15.75" customHeight="1">
      <c r="B12" s="27"/>
      <c r="C12" s="64"/>
      <c r="D12" s="225"/>
      <c r="E12" s="226" t="s">
        <v>245</v>
      </c>
      <c r="F12" s="59" t="str">
        <f>PROPER('ISIAN DATA'!H16)</f>
        <v>Pemalang, 13 Agustus 2002</v>
      </c>
      <c r="G12" s="226" t="s">
        <v>90</v>
      </c>
      <c r="H12" s="59" t="str">
        <f>L14</f>
        <v>332704 - 130802 - 0004</v>
      </c>
      <c r="I12" s="27"/>
      <c r="L12" s="59" t="str">
        <f>'ISIAN DATA'!H15</f>
        <v>3327041308020004</v>
      </c>
      <c r="M12" s="1" t="str">
        <f>LEFT(L12,6)</f>
        <v>332704</v>
      </c>
    </row>
    <row r="13" spans="2:13" ht="15.75" customHeight="1">
      <c r="B13" s="27"/>
      <c r="C13" s="64"/>
      <c r="D13" s="225"/>
      <c r="E13" s="226" t="s">
        <v>241</v>
      </c>
      <c r="F13" s="174" t="s">
        <v>371</v>
      </c>
      <c r="G13" s="226" t="s">
        <v>242</v>
      </c>
      <c r="H13" s="59" t="str">
        <f>'ISIAN DATA'!D15</f>
        <v>SLTA</v>
      </c>
      <c r="I13" s="27"/>
      <c r="L13" s="1" t="str">
        <f>LEFT(L12,12)</f>
        <v>332704130802</v>
      </c>
      <c r="M13" s="1" t="str">
        <f>RIGHT(L13,6)</f>
        <v>130802</v>
      </c>
    </row>
    <row r="14" spans="2:13" ht="15.75" customHeight="1">
      <c r="B14" s="27"/>
      <c r="C14" s="64"/>
      <c r="D14" s="225"/>
      <c r="E14" s="226" t="s">
        <v>12</v>
      </c>
      <c r="F14" s="59" t="str">
        <f>PROPER('ISIAN DATA'!H17)</f>
        <v>Wiraswasta</v>
      </c>
      <c r="G14" s="226" t="s">
        <v>243</v>
      </c>
      <c r="H14" s="59"/>
      <c r="I14" s="27"/>
      <c r="L14" s="1" t="str">
        <f>M12&amp;" - "&amp;M13&amp;" - "&amp;M14</f>
        <v>332704 - 130802 - 0004</v>
      </c>
      <c r="M14" s="1" t="str">
        <f>RIGHT(L12,4)</f>
        <v>0004</v>
      </c>
    </row>
    <row r="15" spans="2:13" ht="15.75" customHeight="1">
      <c r="B15" s="27"/>
      <c r="C15" s="64"/>
      <c r="D15" s="225"/>
      <c r="E15" s="226" t="s">
        <v>80</v>
      </c>
      <c r="F15" s="59" t="str">
        <f>'ISIAN DATA'!H19</f>
        <v>JEJAKA (BELUM KAWIN)</v>
      </c>
      <c r="G15" s="60"/>
      <c r="H15" s="59"/>
      <c r="I15" s="27"/>
    </row>
    <row r="16" spans="2:13" ht="15.75" customHeight="1">
      <c r="B16" s="27"/>
      <c r="C16" s="64"/>
      <c r="D16" s="225"/>
      <c r="E16" s="226" t="s">
        <v>13</v>
      </c>
      <c r="F16" s="279" t="str">
        <f>PROPER('ISIAN DATA'!H29&amp;" "&amp;'ISIAN DATA'!H21)</f>
        <v>Dk. Tambi Rt 002 Rw 001 Tambi Kec. Watukumpul Kab. Pemalang</v>
      </c>
      <c r="G16" s="279"/>
      <c r="H16" s="279"/>
      <c r="I16" s="27"/>
    </row>
    <row r="17" spans="2:13" ht="15.75" customHeight="1">
      <c r="B17" s="27"/>
      <c r="C17" s="64"/>
      <c r="D17" s="225"/>
      <c r="E17" s="226" t="s">
        <v>246</v>
      </c>
      <c r="F17" s="59"/>
      <c r="G17" s="226" t="s">
        <v>91</v>
      </c>
      <c r="H17" s="59"/>
      <c r="I17" s="27"/>
    </row>
    <row r="18" spans="2:13" ht="9" customHeight="1">
      <c r="B18" s="27"/>
      <c r="C18" s="57"/>
      <c r="D18" s="227"/>
      <c r="E18" s="227"/>
      <c r="F18" s="28"/>
      <c r="G18" s="57"/>
      <c r="H18" s="28"/>
      <c r="I18" s="27"/>
    </row>
    <row r="19" spans="2:13" ht="15.75" customHeight="1">
      <c r="B19" s="27"/>
      <c r="C19" s="64"/>
      <c r="D19" s="225" t="s">
        <v>6</v>
      </c>
      <c r="E19" s="226" t="s">
        <v>109</v>
      </c>
      <c r="F19" s="59" t="str">
        <f>'ISIAN DATA'!H23</f>
        <v>TOHIRIN</v>
      </c>
      <c r="G19" s="226" t="s">
        <v>90</v>
      </c>
      <c r="H19" s="59" t="str">
        <f>L21</f>
        <v>332704 - 010773 - 0222</v>
      </c>
      <c r="I19" s="27"/>
      <c r="L19" s="59" t="str">
        <f>'ISIAN DATA'!H24</f>
        <v>3327040107730222</v>
      </c>
      <c r="M19" s="1" t="str">
        <f>LEFT(L19,6)</f>
        <v>332704</v>
      </c>
    </row>
    <row r="20" spans="2:13" ht="15.75" customHeight="1">
      <c r="B20" s="27"/>
      <c r="C20" s="64"/>
      <c r="D20" s="225"/>
      <c r="E20" s="226" t="s">
        <v>245</v>
      </c>
      <c r="F20" s="59" t="str">
        <f>PROPER('ISIAN DATA'!H25)</f>
        <v>Pemalang, 1 Juli 1973</v>
      </c>
      <c r="G20" s="226" t="s">
        <v>12</v>
      </c>
      <c r="H20" s="59" t="str">
        <f>PROPER('ISIAN DATA'!H28)</f>
        <v>Wiraswasta</v>
      </c>
      <c r="I20" s="27"/>
      <c r="L20" s="1" t="str">
        <f>LEFT(L19,12)</f>
        <v>332704010773</v>
      </c>
      <c r="M20" s="1" t="str">
        <f>RIGHT(L20,6)</f>
        <v>010773</v>
      </c>
    </row>
    <row r="21" spans="2:13" ht="15.75" customHeight="1">
      <c r="B21" s="27"/>
      <c r="C21" s="64"/>
      <c r="D21" s="225"/>
      <c r="E21" s="226" t="s">
        <v>13</v>
      </c>
      <c r="F21" s="279" t="str">
        <f>PROPER(('ISIAN DATA'!H29)&amp;" "&amp;'ISIAN DATA'!H30)</f>
        <v>Dk. Tambi Rt 002 Rw 001 Tambi Kec. Watukumpul Kab. Pemalang</v>
      </c>
      <c r="G21" s="279"/>
      <c r="H21" s="279"/>
      <c r="I21" s="27"/>
      <c r="L21" s="1" t="str">
        <f>M19&amp;" - "&amp;M20&amp;" - "&amp;M21</f>
        <v>332704 - 010773 - 0222</v>
      </c>
      <c r="M21" s="1" t="str">
        <f>RIGHT(L19,4)</f>
        <v>0222</v>
      </c>
    </row>
    <row r="22" spans="2:13" ht="9" customHeight="1">
      <c r="B22" s="27"/>
      <c r="C22" s="57"/>
      <c r="D22" s="227"/>
      <c r="E22" s="227"/>
      <c r="F22" s="28"/>
      <c r="G22" s="57"/>
      <c r="H22" s="28"/>
      <c r="I22" s="27"/>
    </row>
    <row r="23" spans="2:13" ht="15.75" customHeight="1">
      <c r="B23" s="27"/>
      <c r="C23" s="64"/>
      <c r="D23" s="225" t="s">
        <v>82</v>
      </c>
      <c r="E23" s="226" t="s">
        <v>248</v>
      </c>
      <c r="F23" s="59" t="str">
        <f>('ISIAN DATA'!H32)</f>
        <v>KARIPAH</v>
      </c>
      <c r="G23" s="226" t="s">
        <v>90</v>
      </c>
      <c r="H23" s="59" t="str">
        <f>L25</f>
        <v>332704 - 410774 - 0064</v>
      </c>
      <c r="I23" s="27"/>
      <c r="L23" s="59" t="str">
        <f>'ISIAN DATA'!H33</f>
        <v>3327044107740064</v>
      </c>
      <c r="M23" s="1" t="str">
        <f>LEFT(L23,6)</f>
        <v>332704</v>
      </c>
    </row>
    <row r="24" spans="2:13" ht="15.75" customHeight="1">
      <c r="B24" s="27"/>
      <c r="C24" s="64"/>
      <c r="D24" s="225"/>
      <c r="E24" s="226" t="s">
        <v>245</v>
      </c>
      <c r="F24" s="59" t="str">
        <f>PROPER('ISIAN DATA'!H34)</f>
        <v>Pemalang, 1 Juli 1974</v>
      </c>
      <c r="G24" s="226" t="s">
        <v>12</v>
      </c>
      <c r="H24" s="59" t="str">
        <f>PROPER('ISIAN DATA'!H37)</f>
        <v>Mengurus Rumah Tangga</v>
      </c>
      <c r="I24" s="27"/>
      <c r="L24" s="1" t="str">
        <f>LEFT(L23,12)</f>
        <v>332704410774</v>
      </c>
      <c r="M24" s="1" t="str">
        <f>RIGHT(L24,6)</f>
        <v>410774</v>
      </c>
    </row>
    <row r="25" spans="2:13" ht="15.75" customHeight="1">
      <c r="B25" s="27"/>
      <c r="C25" s="64"/>
      <c r="D25" s="225"/>
      <c r="E25" s="226" t="s">
        <v>13</v>
      </c>
      <c r="F25" s="279" t="str">
        <f>PROPER(('ISIAN DATA'!H38&amp;" "&amp;'ISIAN DATA'!H39))</f>
        <v>Dk. Tambi Rt 002 Rw 001 Tambi Kec. Watukumpul Kab. Pemalang</v>
      </c>
      <c r="G25" s="279"/>
      <c r="H25" s="279"/>
      <c r="I25" s="27"/>
      <c r="L25" s="1" t="str">
        <f>M23&amp;" - "&amp;M24&amp;" - "&amp;M25</f>
        <v>332704 - 410774 - 0064</v>
      </c>
      <c r="M25" s="1" t="str">
        <f>RIGHT(L23,4)</f>
        <v>0064</v>
      </c>
    </row>
    <row r="26" spans="2:13" ht="15.75" customHeight="1">
      <c r="B26" s="27"/>
      <c r="C26" s="64"/>
      <c r="D26" s="225"/>
      <c r="E26" s="224"/>
      <c r="F26" s="59"/>
      <c r="G26" s="65"/>
      <c r="H26" s="173" t="str">
        <f>"Status Ortu : "&amp;'ISIAN DATA'!H13</f>
        <v>Status Ortu : BERSAMA</v>
      </c>
      <c r="I26" s="27"/>
    </row>
    <row r="27" spans="2:13" ht="15.75" customHeight="1">
      <c r="B27" s="27"/>
      <c r="C27" s="66" t="s">
        <v>83</v>
      </c>
      <c r="D27" s="223" t="s">
        <v>84</v>
      </c>
      <c r="E27" s="224"/>
      <c r="F27" s="59"/>
      <c r="G27" s="60"/>
      <c r="H27" s="59"/>
      <c r="I27" s="27"/>
    </row>
    <row r="28" spans="2:13" ht="15.75" customHeight="1">
      <c r="B28" s="27"/>
      <c r="C28" s="64"/>
      <c r="D28" s="225" t="s">
        <v>4</v>
      </c>
      <c r="E28" s="226" t="s">
        <v>244</v>
      </c>
      <c r="F28" s="280" t="str">
        <f>'ISIAN DATA'!H42</f>
        <v>FIKA INTAN ELMASARI</v>
      </c>
      <c r="G28" s="280"/>
      <c r="H28" s="280"/>
      <c r="I28" s="27"/>
    </row>
    <row r="29" spans="2:13" ht="15.75" customHeight="1">
      <c r="B29" s="27"/>
      <c r="C29" s="64"/>
      <c r="D29" s="225"/>
      <c r="E29" s="226" t="s">
        <v>245</v>
      </c>
      <c r="F29" s="59" t="str">
        <f>PROPER('ISIAN DATA'!H44)</f>
        <v>Pemalang, 8 Oktober 2005</v>
      </c>
      <c r="G29" s="226" t="s">
        <v>90</v>
      </c>
      <c r="H29" s="59" t="str">
        <f>L31</f>
        <v>332703 - 481005 - 0002</v>
      </c>
      <c r="I29" s="27"/>
      <c r="L29" s="59" t="str">
        <f>'ISIAN DATA'!H43</f>
        <v>3327034810050002</v>
      </c>
      <c r="M29" s="1" t="str">
        <f>LEFT(L29,6)</f>
        <v>332703</v>
      </c>
    </row>
    <row r="30" spans="2:13" ht="15.75" customHeight="1">
      <c r="B30" s="27"/>
      <c r="C30" s="64"/>
      <c r="D30" s="225"/>
      <c r="E30" s="226" t="s">
        <v>241</v>
      </c>
      <c r="F30" s="174" t="s">
        <v>371</v>
      </c>
      <c r="G30" s="226" t="s">
        <v>242</v>
      </c>
      <c r="H30" s="59" t="str">
        <f>'ISIAN DATA'!D43</f>
        <v>SLTA</v>
      </c>
      <c r="I30" s="27"/>
      <c r="L30" s="1" t="str">
        <f>LEFT(L29,12)</f>
        <v>332703481005</v>
      </c>
      <c r="M30" s="1" t="str">
        <f>RIGHT(L30,6)</f>
        <v>481005</v>
      </c>
    </row>
    <row r="31" spans="2:13" ht="15.75" customHeight="1">
      <c r="B31" s="27"/>
      <c r="C31" s="64"/>
      <c r="D31" s="225"/>
      <c r="E31" s="226" t="s">
        <v>12</v>
      </c>
      <c r="F31" s="59" t="str">
        <f>PROPER('ISIAN DATA'!H45)</f>
        <v>Pelajar Mahasiswa</v>
      </c>
      <c r="G31" s="226" t="s">
        <v>243</v>
      </c>
      <c r="H31" s="59"/>
      <c r="I31" s="27"/>
      <c r="L31" s="1" t="str">
        <f>M29&amp;" - "&amp;M30&amp;" - "&amp;M31</f>
        <v>332703 - 481005 - 0002</v>
      </c>
      <c r="M31" s="1" t="str">
        <f>RIGHT(L29,4)</f>
        <v>0002</v>
      </c>
    </row>
    <row r="32" spans="2:13" ht="15.75" customHeight="1">
      <c r="B32" s="27"/>
      <c r="C32" s="64"/>
      <c r="D32" s="225"/>
      <c r="E32" s="226" t="s">
        <v>80</v>
      </c>
      <c r="F32" s="59" t="str">
        <f>'ISIAN DATA'!H47</f>
        <v>PERAWAN (BELUM KAWIN)</v>
      </c>
      <c r="G32" s="60"/>
      <c r="H32" s="59"/>
      <c r="I32" s="27"/>
    </row>
    <row r="33" spans="2:13" ht="15.75" customHeight="1">
      <c r="B33" s="27"/>
      <c r="C33" s="64"/>
      <c r="D33" s="225"/>
      <c r="E33" s="226" t="s">
        <v>13</v>
      </c>
      <c r="F33" s="279" t="str">
        <f>PROPER(('ISIAN DATA'!H48)&amp;" "&amp;'ISIAN DATA'!H49)</f>
        <v>Dsn Simadu Rt 003 Rw 008 Desa Badak Kecamatan Belik Kabupaten Pemalang</v>
      </c>
      <c r="G33" s="279"/>
      <c r="H33" s="279"/>
      <c r="I33" s="27"/>
    </row>
    <row r="34" spans="2:13" ht="15.75" customHeight="1">
      <c r="B34" s="27"/>
      <c r="C34" s="64"/>
      <c r="D34" s="225"/>
      <c r="E34" s="226" t="s">
        <v>246</v>
      </c>
      <c r="F34" s="59"/>
      <c r="G34" s="226" t="s">
        <v>91</v>
      </c>
      <c r="H34" s="59"/>
      <c r="I34" s="27"/>
    </row>
    <row r="35" spans="2:13" ht="9" customHeight="1">
      <c r="B35" s="27"/>
      <c r="C35" s="57"/>
      <c r="D35" s="227"/>
      <c r="E35" s="227"/>
      <c r="F35" s="28"/>
      <c r="G35" s="226"/>
      <c r="H35" s="28"/>
      <c r="I35" s="27"/>
    </row>
    <row r="36" spans="2:13" ht="15.75" customHeight="1">
      <c r="B36" s="27"/>
      <c r="C36" s="64"/>
      <c r="D36" s="225" t="s">
        <v>6</v>
      </c>
      <c r="E36" s="226" t="s">
        <v>109</v>
      </c>
      <c r="F36" s="59" t="str">
        <f>'ISIAN DATA'!H51</f>
        <v>SAMIUN</v>
      </c>
      <c r="G36" s="226" t="s">
        <v>90</v>
      </c>
      <c r="H36" s="59" t="str">
        <f>L38</f>
        <v>332703 - 110381 - 0011</v>
      </c>
      <c r="I36" s="27"/>
      <c r="L36" s="59" t="str">
        <f>'ISIAN DATA'!H52</f>
        <v>3327031103810011</v>
      </c>
      <c r="M36" s="1" t="str">
        <f>LEFT(L36,6)</f>
        <v>332703</v>
      </c>
    </row>
    <row r="37" spans="2:13" ht="15.75" customHeight="1">
      <c r="B37" s="27"/>
      <c r="C37" s="64"/>
      <c r="D37" s="225"/>
      <c r="E37" s="226" t="s">
        <v>245</v>
      </c>
      <c r="F37" s="59" t="str">
        <f>PROPER('ISIAN DATA'!H53)</f>
        <v>Pemalang, 11 Maret 1981</v>
      </c>
      <c r="G37" s="226" t="s">
        <v>12</v>
      </c>
      <c r="H37" s="59" t="str">
        <f>PROPER('ISIAN DATA'!H56)</f>
        <v>Petani</v>
      </c>
      <c r="I37" s="27"/>
      <c r="L37" s="1" t="str">
        <f>LEFT(L36,12)</f>
        <v>332703110381</v>
      </c>
      <c r="M37" s="1" t="str">
        <f>RIGHT(L37,6)</f>
        <v>110381</v>
      </c>
    </row>
    <row r="38" spans="2:13" ht="15.75" customHeight="1">
      <c r="B38" s="27"/>
      <c r="C38" s="64"/>
      <c r="D38" s="225"/>
      <c r="E38" s="226" t="s">
        <v>81</v>
      </c>
      <c r="F38" s="279" t="str">
        <f>PROPER(('ISIAN DATA'!H57&amp;" "&amp;'ISIAN DATA'!H58))</f>
        <v>Dsn Simadu Rt 003 Rw 008 Desa Badak Kecamatan Belik Kabupaten Pemalang</v>
      </c>
      <c r="G38" s="279"/>
      <c r="H38" s="279"/>
      <c r="I38" s="27"/>
      <c r="L38" s="1" t="str">
        <f>M36&amp;" - "&amp;M37&amp;" - "&amp;M38</f>
        <v>332703 - 110381 - 0011</v>
      </c>
      <c r="M38" s="1" t="str">
        <f>RIGHT(L36,4)</f>
        <v>0011</v>
      </c>
    </row>
    <row r="39" spans="2:13" ht="9" customHeight="1">
      <c r="B39" s="27"/>
      <c r="C39" s="57"/>
      <c r="D39" s="227"/>
      <c r="E39" s="227"/>
      <c r="F39" s="28"/>
      <c r="G39" s="57"/>
      <c r="H39" s="28"/>
      <c r="I39" s="27"/>
    </row>
    <row r="40" spans="2:13" ht="15.75" customHeight="1">
      <c r="B40" s="27"/>
      <c r="C40" s="64"/>
      <c r="D40" s="225" t="s">
        <v>82</v>
      </c>
      <c r="E40" s="226" t="s">
        <v>247</v>
      </c>
      <c r="F40" s="59" t="str">
        <f>'ISIAN DATA'!H60</f>
        <v>SRINANI</v>
      </c>
      <c r="G40" s="226" t="s">
        <v>90</v>
      </c>
      <c r="H40" s="59" t="str">
        <f>L42</f>
        <v>332703 - 410187 - 0012</v>
      </c>
      <c r="I40" s="27"/>
      <c r="L40" s="59" t="str">
        <f>'ISIAN DATA'!H61</f>
        <v>3327034101870012</v>
      </c>
      <c r="M40" s="1" t="str">
        <f>LEFT(L40,6)</f>
        <v>332703</v>
      </c>
    </row>
    <row r="41" spans="2:13" ht="15.75" customHeight="1">
      <c r="B41" s="27"/>
      <c r="C41" s="64"/>
      <c r="D41" s="225"/>
      <c r="E41" s="226" t="s">
        <v>245</v>
      </c>
      <c r="F41" s="59" t="str">
        <f>PROPER('ISIAN DATA'!H62)</f>
        <v>Pemalang, 1 Januari 1987</v>
      </c>
      <c r="G41" s="226" t="s">
        <v>12</v>
      </c>
      <c r="H41" s="59" t="str">
        <f>PROPER('ISIAN DATA'!H65)</f>
        <v>Mengurus Rumah Tangga</v>
      </c>
      <c r="I41" s="27"/>
      <c r="L41" s="1" t="str">
        <f>LEFT(L40,12)</f>
        <v>332703410187</v>
      </c>
      <c r="M41" s="1" t="str">
        <f>RIGHT(L41,6)</f>
        <v>410187</v>
      </c>
    </row>
    <row r="42" spans="2:13" ht="15.75" customHeight="1">
      <c r="B42" s="27"/>
      <c r="C42" s="64"/>
      <c r="D42" s="225"/>
      <c r="E42" s="226" t="s">
        <v>81</v>
      </c>
      <c r="F42" s="279" t="str">
        <f>PROPER('ISIAN DATA'!H66&amp;" "&amp;'ISIAN DATA'!H67)</f>
        <v>Dsn Simadu Rt 003 Rw 008 Desa Badak Kecamatan Belik Kabupaten Pemalang</v>
      </c>
      <c r="G42" s="279"/>
      <c r="H42" s="279"/>
      <c r="I42" s="27"/>
      <c r="L42" s="1" t="str">
        <f>M40&amp;" - "&amp;M41&amp;" - "&amp;M42</f>
        <v>332703 - 410187 - 0012</v>
      </c>
      <c r="M42" s="1" t="str">
        <f>RIGHT(L40,4)</f>
        <v>0012</v>
      </c>
    </row>
    <row r="43" spans="2:13" ht="15.75" customHeight="1">
      <c r="B43" s="27"/>
      <c r="C43" s="64"/>
      <c r="D43" s="225"/>
      <c r="E43" s="224"/>
      <c r="F43" s="59"/>
      <c r="G43" s="65"/>
      <c r="H43" s="173" t="str">
        <f>"Status Ortu : "&amp;'ISIAN DATA'!H41</f>
        <v>Status Ortu : BERSAMA</v>
      </c>
      <c r="I43" s="27"/>
    </row>
    <row r="44" spans="2:13" ht="15.75" customHeight="1">
      <c r="B44" s="27"/>
      <c r="C44" s="66" t="s">
        <v>85</v>
      </c>
      <c r="D44" s="223" t="s">
        <v>250</v>
      </c>
      <c r="E44" s="224"/>
      <c r="F44" s="59"/>
      <c r="G44" s="60"/>
      <c r="H44" s="59"/>
      <c r="I44" s="27"/>
    </row>
    <row r="45" spans="2:13" ht="15.75" customHeight="1">
      <c r="B45" s="27"/>
      <c r="C45" s="64"/>
      <c r="D45" s="272" t="s">
        <v>86</v>
      </c>
      <c r="E45" s="272"/>
      <c r="F45" s="58" t="str">
        <f>'ISIAN DATA'!H75</f>
        <v>SAMIUN</v>
      </c>
      <c r="G45" s="226" t="s">
        <v>63</v>
      </c>
      <c r="H45" s="59" t="str">
        <f>'ISIAN DATA'!H76</f>
        <v>WASNURI</v>
      </c>
      <c r="I45" s="27"/>
      <c r="L45" s="59" t="str">
        <f>'ISIAN DATA'!H77</f>
        <v>3327031103810011</v>
      </c>
      <c r="M45" s="1" t="str">
        <f>LEFT(L45,6)</f>
        <v>332703</v>
      </c>
    </row>
    <row r="46" spans="2:13" ht="15.75" customHeight="1">
      <c r="B46" s="27"/>
      <c r="C46" s="64"/>
      <c r="D46" s="272" t="s">
        <v>245</v>
      </c>
      <c r="E46" s="272"/>
      <c r="F46" s="59" t="str">
        <f>PROPER('ISIAN DATA'!H78)</f>
        <v>Pemalang, 11 Maret 1981</v>
      </c>
      <c r="G46" s="226" t="s">
        <v>90</v>
      </c>
      <c r="H46" s="59" t="str">
        <f>L47</f>
        <v>332703 - 110381 - 0011</v>
      </c>
      <c r="I46" s="27"/>
      <c r="L46" s="1" t="str">
        <f>LEFT(L45,12)</f>
        <v>332703110381</v>
      </c>
      <c r="M46" s="1" t="str">
        <f>RIGHT(L46,6)</f>
        <v>110381</v>
      </c>
    </row>
    <row r="47" spans="2:13" ht="15.75" customHeight="1">
      <c r="B47" s="27"/>
      <c r="C47" s="64"/>
      <c r="D47" s="272" t="s">
        <v>87</v>
      </c>
      <c r="E47" s="272"/>
      <c r="F47" s="59" t="str">
        <f>'ISIAN DATA'!H71</f>
        <v>AYAH KANDUNG</v>
      </c>
      <c r="G47" s="226" t="s">
        <v>12</v>
      </c>
      <c r="H47" s="59" t="str">
        <f>PROPER('ISIAN DATA'!H81)</f>
        <v>Petani</v>
      </c>
      <c r="I47" s="27"/>
      <c r="L47" s="1" t="str">
        <f>M45&amp;" - "&amp;M46&amp;" - "&amp;M47</f>
        <v>332703 - 110381 - 0011</v>
      </c>
      <c r="M47" s="1" t="str">
        <f>RIGHT(L45,4)</f>
        <v>0011</v>
      </c>
    </row>
    <row r="48" spans="2:13" ht="15.75" customHeight="1">
      <c r="B48" s="27"/>
      <c r="C48" s="64"/>
      <c r="D48" s="272" t="s">
        <v>13</v>
      </c>
      <c r="E48" s="272"/>
      <c r="F48" s="279" t="str">
        <f>PROPER('ISIAN DATA'!H82&amp;" "&amp;'ISIAN DATA'!H83)</f>
        <v>Dsn Simadu Rt 003 Rw 008 Desa Badak Kecamatan Belik Kabupaten Pemalang</v>
      </c>
      <c r="G48" s="279"/>
      <c r="H48" s="279"/>
      <c r="I48" s="27"/>
    </row>
    <row r="49" spans="2:9" ht="9" customHeight="1">
      <c r="B49" s="27"/>
      <c r="C49" s="57"/>
      <c r="D49" s="227"/>
      <c r="E49" s="227"/>
      <c r="F49" s="28"/>
      <c r="G49" s="57"/>
      <c r="H49" s="28"/>
      <c r="I49" s="27"/>
    </row>
    <row r="50" spans="2:9" ht="15.75" customHeight="1">
      <c r="B50" s="27"/>
      <c r="C50" s="66" t="s">
        <v>88</v>
      </c>
      <c r="D50" s="223" t="s">
        <v>372</v>
      </c>
      <c r="E50" s="224"/>
      <c r="F50" s="59"/>
      <c r="G50" s="60"/>
      <c r="H50" s="59"/>
      <c r="I50" s="27"/>
    </row>
    <row r="51" spans="2:9" ht="15.75" customHeight="1">
      <c r="B51" s="27"/>
      <c r="C51" s="64"/>
      <c r="D51" s="272" t="s">
        <v>89</v>
      </c>
      <c r="E51" s="272"/>
      <c r="F51" s="59" t="str">
        <f>'ISIAN DATA'!H72</f>
        <v>-</v>
      </c>
      <c r="G51" s="60"/>
      <c r="H51" s="59"/>
      <c r="I51" s="27"/>
    </row>
    <row r="52" spans="2:9" ht="15.75" customHeight="1">
      <c r="B52" s="27"/>
      <c r="C52" s="277" t="s">
        <v>249</v>
      </c>
      <c r="D52" s="277"/>
      <c r="E52" s="277"/>
      <c r="F52" s="276"/>
      <c r="G52" s="276"/>
      <c r="H52" s="276"/>
      <c r="I52" s="27"/>
    </row>
    <row r="53" spans="2:9" ht="9" customHeight="1">
      <c r="B53" s="27"/>
      <c r="C53" s="64"/>
      <c r="D53" s="64"/>
      <c r="E53" s="60"/>
      <c r="F53" s="59"/>
      <c r="G53" s="60"/>
      <c r="H53" s="59"/>
      <c r="I53" s="27"/>
    </row>
    <row r="54" spans="2:9" ht="15.75" customHeight="1">
      <c r="B54" s="27"/>
      <c r="C54" s="60"/>
      <c r="D54" s="60"/>
      <c r="E54" s="60"/>
      <c r="F54" s="59"/>
      <c r="G54" s="62" t="str">
        <f>'ISIAN DATA'!H8</f>
        <v>Tambi, 08 Oktober 2026</v>
      </c>
      <c r="H54" s="59"/>
      <c r="I54" s="27"/>
    </row>
    <row r="55" spans="2:9" ht="20.25" customHeight="1">
      <c r="B55" s="27"/>
      <c r="C55" s="60"/>
      <c r="D55" s="60"/>
      <c r="E55" s="60"/>
      <c r="F55" s="59" t="s">
        <v>56</v>
      </c>
      <c r="G55" s="62" t="s">
        <v>235</v>
      </c>
      <c r="H55" s="59"/>
      <c r="I55" s="27"/>
    </row>
    <row r="56" spans="2:9" ht="15.75" customHeight="1">
      <c r="B56" s="27"/>
      <c r="C56" s="60"/>
      <c r="D56" s="60"/>
      <c r="E56" s="60"/>
      <c r="F56" s="59"/>
      <c r="G56" s="62"/>
      <c r="H56" s="59"/>
      <c r="I56" s="27"/>
    </row>
    <row r="57" spans="2:9" ht="15.75" customHeight="1">
      <c r="B57" s="27"/>
      <c r="C57" s="60"/>
      <c r="D57" s="60"/>
      <c r="E57" s="60"/>
      <c r="F57" s="59"/>
      <c r="G57" s="62"/>
      <c r="H57" s="59"/>
      <c r="I57" s="27"/>
    </row>
    <row r="58" spans="2:9" ht="15.75" customHeight="1">
      <c r="B58" s="27"/>
      <c r="C58" s="60"/>
      <c r="D58" s="60"/>
      <c r="E58" s="60"/>
      <c r="F58" s="59"/>
      <c r="G58" s="62"/>
      <c r="H58" s="59"/>
      <c r="I58" s="27"/>
    </row>
    <row r="59" spans="2:9" ht="15.75" customHeight="1">
      <c r="B59" s="27"/>
      <c r="C59" s="60"/>
      <c r="D59" s="60"/>
      <c r="E59" s="60"/>
      <c r="F59" s="58" t="str">
        <f>PROPER('ISIAN DATA'!C6)</f>
        <v>Chalim Muchtarom, S.Pd.I</v>
      </c>
      <c r="G59" s="63" t="str">
        <f>PROPER(F28)</f>
        <v>Fika Intan Elmasari</v>
      </c>
      <c r="H59" s="59"/>
      <c r="I59" s="27"/>
    </row>
    <row r="60" spans="2:9">
      <c r="B60" s="27"/>
      <c r="C60" s="61"/>
      <c r="D60" s="61"/>
      <c r="E60" s="61"/>
      <c r="F60" s="27"/>
      <c r="G60" s="61"/>
      <c r="H60" s="27"/>
      <c r="I60" s="27"/>
    </row>
    <row r="61" spans="2:9"/>
  </sheetData>
  <sheetProtection algorithmName="SHA-512" hashValue="c7OtkrvG4DBOspWG/hvwJX2jURCO//kMKtHog2q5c1I3GA8EpAyNWMayuF8T8ERl7+sRGYEud0qDlztxHHhl5Q==" saltValue="Un14QQVJwu8yEuchoSQZmg==" spinCount="100000" sheet="1" objects="1" scenarios="1" selectLockedCells="1"/>
  <mergeCells count="21">
    <mergeCell ref="B1:G1"/>
    <mergeCell ref="H1:I1"/>
    <mergeCell ref="F52:H52"/>
    <mergeCell ref="C52:E52"/>
    <mergeCell ref="C2:H2"/>
    <mergeCell ref="C3:H3"/>
    <mergeCell ref="F48:H48"/>
    <mergeCell ref="F11:H11"/>
    <mergeCell ref="F7:H7"/>
    <mergeCell ref="F21:H21"/>
    <mergeCell ref="F28:H28"/>
    <mergeCell ref="F33:H33"/>
    <mergeCell ref="F25:H25"/>
    <mergeCell ref="F38:H38"/>
    <mergeCell ref="F42:H42"/>
    <mergeCell ref="F16:H16"/>
    <mergeCell ref="D45:E45"/>
    <mergeCell ref="D46:E46"/>
    <mergeCell ref="D47:E47"/>
    <mergeCell ref="D48:E48"/>
    <mergeCell ref="D51:E51"/>
  </mergeCells>
  <hyperlinks>
    <hyperlink ref="F8" r:id="rId1" display="___________________________@gmail.com -"/>
  </hyperlinks>
  <pageMargins left="0.52" right="0.38" top="0.38" bottom="0.39" header="0.31496062992125984" footer="0.31496062992125984"/>
  <pageSetup paperSize="10000" orientation="portrait" horizontalDpi="4294967293" verticalDpi="4294967293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54"/>
  <sheetViews>
    <sheetView showGridLines="0" zoomScale="115" zoomScaleNormal="115" workbookViewId="0">
      <selection activeCell="H9" sqref="H9"/>
    </sheetView>
  </sheetViews>
  <sheetFormatPr defaultColWidth="0" defaultRowHeight="14.25" zeroHeight="1"/>
  <cols>
    <col min="1" max="1" width="5.42578125" style="16" customWidth="1"/>
    <col min="2" max="3" width="3.5703125" style="16" customWidth="1"/>
    <col min="4" max="4" width="7" style="16" customWidth="1"/>
    <col min="5" max="5" width="2" style="16" customWidth="1"/>
    <col min="6" max="6" width="44.5703125" style="16" customWidth="1"/>
    <col min="7" max="7" width="16" style="16" customWidth="1"/>
    <col min="8" max="8" width="12" style="16" customWidth="1"/>
    <col min="9" max="9" width="5.42578125" style="16" customWidth="1"/>
    <col min="10" max="10" width="0" style="16" hidden="1" customWidth="1"/>
    <col min="11" max="16384" width="9.140625" style="16" hidden="1"/>
  </cols>
  <sheetData>
    <row r="1" spans="1:10" ht="30" customHeight="1" thickBot="1">
      <c r="A1" s="25"/>
      <c r="B1" s="25"/>
      <c r="C1" s="25"/>
      <c r="D1" s="25"/>
      <c r="E1" s="25"/>
      <c r="F1" s="25"/>
      <c r="G1" s="282"/>
      <c r="H1" s="283"/>
      <c r="I1" s="25"/>
    </row>
    <row r="2" spans="1:10" ht="21.75" customHeight="1">
      <c r="A2" s="25"/>
      <c r="C2" s="15"/>
      <c r="D2" s="15"/>
      <c r="E2" s="15"/>
      <c r="F2" s="15"/>
      <c r="G2" s="15"/>
      <c r="H2" s="22" t="s">
        <v>27</v>
      </c>
      <c r="I2" s="26"/>
      <c r="J2" s="15"/>
    </row>
    <row r="3" spans="1:10" ht="12" customHeight="1">
      <c r="A3" s="25"/>
      <c r="C3" s="15"/>
      <c r="D3" s="15"/>
      <c r="E3" s="15"/>
      <c r="F3" s="15"/>
      <c r="G3" s="15"/>
      <c r="H3" s="22" t="s">
        <v>28</v>
      </c>
      <c r="I3" s="26"/>
      <c r="J3" s="15"/>
    </row>
    <row r="4" spans="1:10" ht="12" customHeight="1">
      <c r="A4" s="25"/>
      <c r="I4" s="25"/>
    </row>
    <row r="5" spans="1:10" ht="16.5" customHeight="1">
      <c r="A5" s="25"/>
      <c r="B5" s="16" t="s">
        <v>29</v>
      </c>
      <c r="D5" s="16" t="s">
        <v>198</v>
      </c>
      <c r="E5" s="17"/>
      <c r="F5" s="17"/>
      <c r="H5" s="24" t="str">
        <f>'ISIAN DATA'!H8</f>
        <v>Tambi, 08 Oktober 2026</v>
      </c>
      <c r="I5" s="25"/>
    </row>
    <row r="6" spans="1:10" ht="16.5" customHeight="1">
      <c r="A6" s="25"/>
      <c r="I6" s="25"/>
    </row>
    <row r="7" spans="1:10" ht="16.5" customHeight="1">
      <c r="A7" s="25"/>
      <c r="B7" s="23" t="s">
        <v>30</v>
      </c>
      <c r="I7" s="25"/>
    </row>
    <row r="8" spans="1:10" ht="16.5" customHeight="1">
      <c r="A8" s="25"/>
      <c r="B8" s="23" t="s">
        <v>31</v>
      </c>
      <c r="I8" s="25"/>
    </row>
    <row r="9" spans="1:10" ht="16.5" customHeight="1">
      <c r="A9" s="25"/>
      <c r="B9" s="23" t="s">
        <v>194</v>
      </c>
      <c r="I9" s="25"/>
    </row>
    <row r="10" spans="1:10" ht="16.5" customHeight="1">
      <c r="A10" s="25"/>
      <c r="I10" s="25"/>
    </row>
    <row r="11" spans="1:10" ht="16.5" customHeight="1">
      <c r="A11" s="25"/>
      <c r="B11" s="16" t="s">
        <v>32</v>
      </c>
      <c r="I11" s="25"/>
    </row>
    <row r="12" spans="1:10" ht="16.5" customHeight="1">
      <c r="A12" s="25"/>
      <c r="B12" s="16" t="s">
        <v>33</v>
      </c>
      <c r="I12" s="25"/>
    </row>
    <row r="13" spans="1:10" ht="11.25" customHeight="1">
      <c r="A13" s="25"/>
      <c r="I13" s="25"/>
    </row>
    <row r="14" spans="1:10" ht="18.75" customHeight="1">
      <c r="A14" s="25"/>
      <c r="B14" s="16" t="s">
        <v>34</v>
      </c>
      <c r="E14" s="16" t="s">
        <v>25</v>
      </c>
      <c r="F14" s="17" t="str">
        <f>'ISIAN DATA'!H14 &amp;" Bin "&amp;'ISIAN DATA'!H23</f>
        <v>AOFA ARDIAN FADILLAH AZIZ Bin TOHIRIN</v>
      </c>
      <c r="I14" s="25"/>
    </row>
    <row r="15" spans="1:10" ht="18.75" customHeight="1">
      <c r="A15" s="25"/>
      <c r="B15" s="16" t="s">
        <v>35</v>
      </c>
      <c r="E15" s="16" t="s">
        <v>25</v>
      </c>
      <c r="F15" s="17" t="str">
        <f>'ISIAN DATA'!H42&amp;" Binti "&amp;'ISIAN DATA'!H51</f>
        <v>FIKA INTAN ELMASARI Binti SAMIUN</v>
      </c>
      <c r="I15" s="25"/>
    </row>
    <row r="16" spans="1:10" ht="18.75" customHeight="1">
      <c r="A16" s="25"/>
      <c r="B16" s="16" t="s">
        <v>36</v>
      </c>
      <c r="E16" s="16" t="s">
        <v>25</v>
      </c>
      <c r="F16" s="16" t="str">
        <f>'ISIAN DATA'!H9</f>
        <v>KAMIS, 19 NOVEMBER 2026</v>
      </c>
      <c r="G16" s="24" t="str">
        <f>'ISIAN DATA'!C10</f>
        <v>JAM : 08:30</v>
      </c>
      <c r="H16" s="16" t="s">
        <v>199</v>
      </c>
      <c r="I16" s="25"/>
    </row>
    <row r="17" spans="1:9" ht="18.75" customHeight="1">
      <c r="A17" s="25"/>
      <c r="B17" s="16" t="s">
        <v>37</v>
      </c>
      <c r="E17" s="16" t="s">
        <v>25</v>
      </c>
      <c r="F17" s="16" t="str">
        <f>'ISIAN DATA'!H11</f>
        <v>DSN SIMADU RT 003 RW 008 DESA BADAK KECAMATAN BELIK KABUPATEN PEMALANG</v>
      </c>
      <c r="I17" s="25"/>
    </row>
    <row r="18" spans="1:9" ht="16.5" customHeight="1">
      <c r="A18" s="25"/>
      <c r="I18" s="25"/>
    </row>
    <row r="19" spans="1:9" ht="16.5" customHeight="1">
      <c r="A19" s="25"/>
      <c r="B19" s="16" t="s">
        <v>38</v>
      </c>
      <c r="I19" s="25"/>
    </row>
    <row r="20" spans="1:9" ht="16.5" customHeight="1">
      <c r="A20" s="25"/>
      <c r="B20" s="17" t="s">
        <v>45</v>
      </c>
      <c r="C20" s="17"/>
      <c r="I20" s="25"/>
    </row>
    <row r="21" spans="1:9" ht="16.5" customHeight="1">
      <c r="A21" s="25"/>
      <c r="B21" s="18"/>
      <c r="C21" s="19" t="s">
        <v>4</v>
      </c>
      <c r="D21" s="16" t="s">
        <v>39</v>
      </c>
      <c r="I21" s="25"/>
    </row>
    <row r="22" spans="1:9" ht="16.5" customHeight="1">
      <c r="A22" s="25"/>
      <c r="B22" s="18"/>
      <c r="C22" s="19"/>
      <c r="D22" s="15" t="s">
        <v>384</v>
      </c>
      <c r="I22" s="25"/>
    </row>
    <row r="23" spans="1:9" ht="16.5" customHeight="1">
      <c r="A23" s="25"/>
      <c r="B23" s="18"/>
      <c r="C23" s="19" t="s">
        <v>6</v>
      </c>
      <c r="D23" s="16" t="s">
        <v>40</v>
      </c>
      <c r="I23" s="25"/>
    </row>
    <row r="24" spans="1:9" ht="16.5" customHeight="1">
      <c r="A24" s="25"/>
      <c r="B24" s="18"/>
      <c r="C24" s="19"/>
      <c r="D24" s="15" t="s">
        <v>41</v>
      </c>
      <c r="I24" s="25"/>
    </row>
    <row r="25" spans="1:9" ht="16.5" customHeight="1">
      <c r="A25" s="25"/>
      <c r="B25" s="18"/>
      <c r="C25" s="19" t="s">
        <v>82</v>
      </c>
      <c r="D25" s="16" t="s">
        <v>42</v>
      </c>
      <c r="I25" s="25"/>
    </row>
    <row r="26" spans="1:9" ht="16.5" customHeight="1">
      <c r="A26" s="25"/>
      <c r="B26" s="18"/>
      <c r="C26" s="19" t="s">
        <v>134</v>
      </c>
      <c r="D26" s="16" t="s">
        <v>43</v>
      </c>
      <c r="I26" s="25"/>
    </row>
    <row r="27" spans="1:9" ht="16.5" customHeight="1">
      <c r="A27" s="25"/>
      <c r="B27" s="18"/>
      <c r="C27" s="19" t="s">
        <v>135</v>
      </c>
      <c r="D27" s="16" t="s">
        <v>44</v>
      </c>
      <c r="I27" s="25"/>
    </row>
    <row r="28" spans="1:9" ht="7.5" customHeight="1">
      <c r="A28" s="25"/>
      <c r="I28" s="25"/>
    </row>
    <row r="29" spans="1:9" ht="16.5" customHeight="1">
      <c r="A29" s="25"/>
      <c r="B29" s="17" t="s">
        <v>46</v>
      </c>
      <c r="C29" s="17"/>
      <c r="I29" s="25"/>
    </row>
    <row r="30" spans="1:9" ht="16.5" customHeight="1">
      <c r="A30" s="25"/>
      <c r="B30" s="20"/>
      <c r="C30" s="19" t="s">
        <v>4</v>
      </c>
      <c r="D30" s="16" t="s">
        <v>47</v>
      </c>
      <c r="I30" s="25"/>
    </row>
    <row r="31" spans="1:9" ht="16.5" customHeight="1">
      <c r="A31" s="25"/>
      <c r="B31" s="20"/>
      <c r="C31" s="19" t="s">
        <v>6</v>
      </c>
      <c r="D31" s="16" t="s">
        <v>48</v>
      </c>
      <c r="I31" s="25"/>
    </row>
    <row r="32" spans="1:9" ht="16.5" customHeight="1">
      <c r="A32" s="25"/>
      <c r="B32" s="20"/>
      <c r="C32" s="19" t="s">
        <v>82</v>
      </c>
      <c r="D32" s="16" t="s">
        <v>51</v>
      </c>
      <c r="I32" s="25"/>
    </row>
    <row r="33" spans="1:9" ht="16.5" customHeight="1">
      <c r="A33" s="25"/>
      <c r="B33" s="20"/>
      <c r="C33" s="19" t="s">
        <v>134</v>
      </c>
      <c r="D33" s="16" t="s">
        <v>50</v>
      </c>
      <c r="I33" s="25"/>
    </row>
    <row r="34" spans="1:9" ht="16.5" customHeight="1">
      <c r="A34" s="25"/>
      <c r="B34" s="20"/>
      <c r="C34" s="19" t="s">
        <v>135</v>
      </c>
      <c r="D34" s="16" t="s">
        <v>49</v>
      </c>
      <c r="I34" s="25"/>
    </row>
    <row r="35" spans="1:9" ht="12" customHeight="1">
      <c r="A35" s="25"/>
      <c r="I35" s="25"/>
    </row>
    <row r="36" spans="1:9" ht="31.5" customHeight="1">
      <c r="A36" s="25"/>
      <c r="B36" s="281" t="s">
        <v>197</v>
      </c>
      <c r="C36" s="281"/>
      <c r="D36" s="281"/>
      <c r="E36" s="281"/>
      <c r="F36" s="281"/>
      <c r="G36" s="281"/>
      <c r="H36" s="281"/>
      <c r="I36" s="25"/>
    </row>
    <row r="37" spans="1:9" ht="16.5" customHeight="1">
      <c r="A37" s="25"/>
      <c r="I37" s="25"/>
    </row>
    <row r="38" spans="1:9" ht="16.5" customHeight="1">
      <c r="A38" s="25"/>
      <c r="B38" s="16" t="s">
        <v>54</v>
      </c>
      <c r="I38" s="25"/>
    </row>
    <row r="39" spans="1:9" ht="16.5" customHeight="1">
      <c r="A39" s="25"/>
      <c r="I39" s="25"/>
    </row>
    <row r="40" spans="1:9" ht="16.5" customHeight="1">
      <c r="A40" s="25"/>
      <c r="B40" s="16" t="str">
        <f>"Diterima tanggal ……………..……… "&amp;RIGHT(H5,4)</f>
        <v>Diterima tanggal ……………..……… 2026</v>
      </c>
      <c r="I40" s="25"/>
    </row>
    <row r="41" spans="1:9" ht="16.5" customHeight="1">
      <c r="A41" s="25"/>
      <c r="B41" s="16" t="s">
        <v>52</v>
      </c>
      <c r="I41" s="25"/>
    </row>
    <row r="42" spans="1:9" ht="16.5" customHeight="1">
      <c r="A42" s="25"/>
      <c r="B42" s="16" t="s">
        <v>53</v>
      </c>
      <c r="G42" s="16" t="s">
        <v>235</v>
      </c>
      <c r="I42" s="25"/>
    </row>
    <row r="43" spans="1:9" ht="16.5" customHeight="1">
      <c r="A43" s="25"/>
      <c r="I43" s="25"/>
    </row>
    <row r="44" spans="1:9" ht="16.5" customHeight="1">
      <c r="A44" s="25"/>
      <c r="I44" s="25"/>
    </row>
    <row r="45" spans="1:9" ht="16.5" customHeight="1">
      <c r="A45" s="25"/>
      <c r="I45" s="25"/>
    </row>
    <row r="46" spans="1:9" ht="16.5" customHeight="1">
      <c r="A46" s="25"/>
      <c r="B46" s="16" t="s">
        <v>55</v>
      </c>
      <c r="G46" s="17" t="str">
        <f>PROPER('ISIAN DATA'!H42)</f>
        <v>Fika Intan Elmasari</v>
      </c>
      <c r="I46" s="25"/>
    </row>
    <row r="47" spans="1:9" ht="12.75" customHeight="1" thickBot="1">
      <c r="A47" s="25"/>
      <c r="B47" s="21"/>
      <c r="C47" s="21"/>
      <c r="D47" s="21"/>
      <c r="E47" s="21"/>
      <c r="F47" s="21"/>
      <c r="G47" s="21"/>
      <c r="H47" s="21"/>
      <c r="I47" s="25"/>
    </row>
    <row r="48" spans="1:9" ht="12.75" customHeight="1" thickTop="1">
      <c r="A48" s="25"/>
      <c r="I48" s="25"/>
    </row>
    <row r="49" spans="1:9" ht="16.5" customHeight="1">
      <c r="A49" s="25"/>
      <c r="G49" s="16" t="s">
        <v>56</v>
      </c>
      <c r="I49" s="25"/>
    </row>
    <row r="50" spans="1:9" ht="16.5" customHeight="1">
      <c r="A50" s="25"/>
      <c r="I50" s="25"/>
    </row>
    <row r="51" spans="1:9" ht="16.5" customHeight="1">
      <c r="A51" s="25"/>
      <c r="I51" s="25"/>
    </row>
    <row r="52" spans="1:9" ht="16.5" customHeight="1">
      <c r="A52" s="25"/>
      <c r="I52" s="25"/>
    </row>
    <row r="53" spans="1:9" ht="16.5" customHeight="1">
      <c r="A53" s="25"/>
      <c r="G53" s="189" t="str">
        <f>'ISIAN DATA'!C6</f>
        <v>Chalim Muchtarom, S.Pd.I</v>
      </c>
      <c r="I53" s="25"/>
    </row>
    <row r="54" spans="1:9">
      <c r="A54" s="25"/>
      <c r="B54" s="25"/>
      <c r="C54" s="25"/>
      <c r="D54" s="25"/>
      <c r="E54" s="25"/>
      <c r="F54" s="25"/>
      <c r="G54" s="25"/>
      <c r="H54" s="25"/>
      <c r="I54" s="25"/>
    </row>
  </sheetData>
  <sheetProtection algorithmName="SHA-512" hashValue="QEJCCKWqH1VDT4e9oK4rwejYrcN18PW7iDY/dEZu4gHAoTdWCDIMkJANEx2PzIPaeB4RMnEuDQ7pgOgCypzTPQ==" saltValue="KlzuF1efVTT8vJkTj2xXzQ==" spinCount="100000" sheet="1" objects="1" scenarios="1" selectLockedCells="1"/>
  <mergeCells count="2">
    <mergeCell ref="B36:H36"/>
    <mergeCell ref="G1:H1"/>
  </mergeCells>
  <pageMargins left="0.70866141732283472" right="0.45" top="0.4" bottom="0.36" header="0.31496062992125984" footer="0.31496062992125984"/>
  <pageSetup paperSize="10000" orientation="portrait" horizontalDpi="4294967293" vertic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60"/>
  <sheetViews>
    <sheetView showGridLines="0" zoomScale="110" zoomScaleNormal="110" workbookViewId="0">
      <selection activeCell="G1" sqref="G1:H1"/>
    </sheetView>
  </sheetViews>
  <sheetFormatPr defaultColWidth="0" defaultRowHeight="14.25" zeroHeight="1"/>
  <cols>
    <col min="1" max="1" width="4.5703125" style="4" customWidth="1"/>
    <col min="2" max="2" width="1.5703125" style="4" customWidth="1"/>
    <col min="3" max="3" width="2.85546875" style="4" customWidth="1"/>
    <col min="4" max="4" width="4" style="4" customWidth="1"/>
    <col min="5" max="5" width="29" style="4" customWidth="1"/>
    <col min="6" max="6" width="1.85546875" style="4" customWidth="1"/>
    <col min="7" max="7" width="52.140625" style="4" customWidth="1"/>
    <col min="8" max="8" width="1.5703125" style="4" customWidth="1"/>
    <col min="9" max="9" width="4.5703125" style="4" customWidth="1"/>
    <col min="10" max="16384" width="9.140625" style="4" hidden="1"/>
  </cols>
  <sheetData>
    <row r="1" spans="1:9" ht="23.25" customHeight="1" thickBot="1">
      <c r="A1" s="3"/>
      <c r="B1" s="208" t="s">
        <v>414</v>
      </c>
      <c r="C1" s="207"/>
      <c r="D1" s="207"/>
      <c r="E1" s="207"/>
      <c r="F1" s="207"/>
      <c r="G1" s="282" t="s">
        <v>412</v>
      </c>
      <c r="H1" s="283"/>
      <c r="I1" s="3"/>
    </row>
    <row r="2" spans="1:9">
      <c r="A2" s="3"/>
      <c r="I2" s="3"/>
    </row>
    <row r="3" spans="1:9">
      <c r="A3" s="3"/>
      <c r="I3" s="3"/>
    </row>
    <row r="4" spans="1:9">
      <c r="A4" s="3"/>
      <c r="I4" s="3"/>
    </row>
    <row r="5" spans="1:9">
      <c r="A5" s="3"/>
      <c r="I5" s="3"/>
    </row>
    <row r="6" spans="1:9" ht="16.5" customHeight="1">
      <c r="A6" s="3"/>
      <c r="C6" s="286" t="s">
        <v>0</v>
      </c>
      <c r="D6" s="286"/>
      <c r="E6" s="286"/>
      <c r="F6" s="286"/>
      <c r="G6" s="286"/>
      <c r="I6" s="3"/>
    </row>
    <row r="7" spans="1:9" ht="16.5" customHeight="1">
      <c r="A7" s="3"/>
      <c r="C7" s="286" t="s">
        <v>1</v>
      </c>
      <c r="D7" s="286"/>
      <c r="E7" s="286"/>
      <c r="F7" s="286"/>
      <c r="G7" s="286"/>
      <c r="I7" s="3"/>
    </row>
    <row r="8" spans="1:9" ht="16.5" customHeight="1">
      <c r="A8" s="3"/>
      <c r="C8" s="286" t="str">
        <f>"DESA "&amp;'ISIAN DATA'!C3</f>
        <v>DESA TAMBI</v>
      </c>
      <c r="D8" s="286"/>
      <c r="E8" s="286"/>
      <c r="F8" s="286"/>
      <c r="G8" s="286"/>
      <c r="I8" s="3"/>
    </row>
    <row r="9" spans="1:9">
      <c r="A9" s="3"/>
      <c r="G9" s="5" t="s">
        <v>26</v>
      </c>
      <c r="I9" s="3"/>
    </row>
    <row r="10" spans="1:9" ht="18">
      <c r="A10" s="3"/>
      <c r="C10" s="287" t="s">
        <v>2</v>
      </c>
      <c r="D10" s="287"/>
      <c r="E10" s="287"/>
      <c r="F10" s="287"/>
      <c r="G10" s="287"/>
      <c r="I10" s="3"/>
    </row>
    <row r="11" spans="1:9" ht="18.75" customHeight="1">
      <c r="A11" s="3"/>
      <c r="C11" s="288" t="str">
        <f>"Nomor : "&amp;'ISIAN DATA'!H7</f>
        <v>Nomor : 400.12.3.2/19/X/2026</v>
      </c>
      <c r="D11" s="288"/>
      <c r="E11" s="288"/>
      <c r="F11" s="288"/>
      <c r="G11" s="288"/>
      <c r="I11" s="3"/>
    </row>
    <row r="12" spans="1:9">
      <c r="A12" s="3"/>
      <c r="I12" s="3"/>
    </row>
    <row r="13" spans="1:9" ht="15.75" customHeight="1">
      <c r="A13" s="3"/>
      <c r="C13" s="4" t="s">
        <v>3</v>
      </c>
      <c r="I13" s="3"/>
    </row>
    <row r="14" spans="1:9" ht="15.75" customHeight="1">
      <c r="A14" s="3"/>
      <c r="C14" s="6" t="s">
        <v>4</v>
      </c>
      <c r="D14" s="285" t="s">
        <v>5</v>
      </c>
      <c r="E14" s="285"/>
      <c r="F14" s="4" t="s">
        <v>24</v>
      </c>
      <c r="G14" s="7" t="str">
        <f>'ISIAN DATA'!H14</f>
        <v>AOFA ARDIAN FADILLAH AZIZ</v>
      </c>
      <c r="I14" s="3"/>
    </row>
    <row r="15" spans="1:9" ht="15.75" customHeight="1">
      <c r="A15" s="3"/>
      <c r="C15" s="6" t="s">
        <v>6</v>
      </c>
      <c r="D15" s="285" t="s">
        <v>7</v>
      </c>
      <c r="E15" s="285"/>
      <c r="F15" s="4" t="s">
        <v>24</v>
      </c>
      <c r="G15" s="4" t="str">
        <f>'ISIAN DATA'!H15</f>
        <v>3327041308020004</v>
      </c>
      <c r="I15" s="3"/>
    </row>
    <row r="16" spans="1:9" ht="15.75" customHeight="1">
      <c r="A16" s="3"/>
      <c r="C16" s="6" t="s">
        <v>82</v>
      </c>
      <c r="D16" s="285" t="s">
        <v>8</v>
      </c>
      <c r="E16" s="285"/>
      <c r="F16" s="4" t="s">
        <v>24</v>
      </c>
      <c r="G16" s="4" t="s">
        <v>165</v>
      </c>
      <c r="I16" s="3"/>
    </row>
    <row r="17" spans="1:9" ht="15.75" customHeight="1">
      <c r="A17" s="3"/>
      <c r="C17" s="6" t="s">
        <v>134</v>
      </c>
      <c r="D17" s="285" t="s">
        <v>9</v>
      </c>
      <c r="E17" s="285"/>
      <c r="F17" s="4" t="s">
        <v>24</v>
      </c>
      <c r="G17" s="4" t="str">
        <f>'ISIAN DATA'!H16</f>
        <v>PEMALANG, 13 AGUSTUS 2002</v>
      </c>
      <c r="I17" s="3"/>
    </row>
    <row r="18" spans="1:9" ht="15.75" customHeight="1">
      <c r="A18" s="3"/>
      <c r="C18" s="6" t="s">
        <v>135</v>
      </c>
      <c r="D18" s="285" t="s">
        <v>10</v>
      </c>
      <c r="E18" s="285"/>
      <c r="F18" s="4" t="s">
        <v>24</v>
      </c>
      <c r="G18" s="4" t="s">
        <v>163</v>
      </c>
      <c r="I18" s="3"/>
    </row>
    <row r="19" spans="1:9" ht="15.75" customHeight="1">
      <c r="A19" s="3"/>
      <c r="C19" s="6" t="s">
        <v>136</v>
      </c>
      <c r="D19" s="285" t="s">
        <v>11</v>
      </c>
      <c r="E19" s="285"/>
      <c r="F19" s="4" t="s">
        <v>24</v>
      </c>
      <c r="G19" s="4" t="s">
        <v>156</v>
      </c>
      <c r="I19" s="3"/>
    </row>
    <row r="20" spans="1:9" ht="15.75" customHeight="1">
      <c r="A20" s="3"/>
      <c r="C20" s="6" t="s">
        <v>137</v>
      </c>
      <c r="D20" s="285" t="s">
        <v>12</v>
      </c>
      <c r="E20" s="285"/>
      <c r="F20" s="4" t="s">
        <v>24</v>
      </c>
      <c r="G20" s="4" t="str">
        <f>'ISIAN DATA'!H17</f>
        <v>WIRASWASTA</v>
      </c>
      <c r="I20" s="3"/>
    </row>
    <row r="21" spans="1:9" ht="15.75" customHeight="1">
      <c r="A21" s="3"/>
      <c r="C21" s="6" t="s">
        <v>138</v>
      </c>
      <c r="D21" s="285" t="s">
        <v>13</v>
      </c>
      <c r="E21" s="285"/>
      <c r="F21" s="4" t="s">
        <v>24</v>
      </c>
      <c r="G21" s="4" t="str">
        <f>'ISIAN DATA'!H20</f>
        <v>DK. TAMBI RT 002 RW 001 TAMBI</v>
      </c>
      <c r="I21" s="3"/>
    </row>
    <row r="22" spans="1:9" ht="15.75" customHeight="1">
      <c r="A22" s="3"/>
      <c r="C22" s="6"/>
      <c r="G22" s="4" t="str">
        <f>'ISIAN DATA'!H21</f>
        <v>KEC. WATUKUMPUL KAB. PEMALANG</v>
      </c>
      <c r="I22" s="3"/>
    </row>
    <row r="23" spans="1:9" ht="15.75" customHeight="1">
      <c r="A23" s="3"/>
      <c r="C23" s="6" t="s">
        <v>139</v>
      </c>
      <c r="E23" s="4" t="s">
        <v>14</v>
      </c>
      <c r="I23" s="3"/>
    </row>
    <row r="24" spans="1:9" ht="15.75" customHeight="1">
      <c r="A24" s="3"/>
      <c r="D24" s="8" t="s">
        <v>15</v>
      </c>
      <c r="E24" s="4" t="s">
        <v>16</v>
      </c>
      <c r="F24" s="4" t="s">
        <v>25</v>
      </c>
      <c r="G24" s="4" t="str">
        <f>'ISIAN DATA'!H19</f>
        <v>JEJAKA (BELUM KAWIN)</v>
      </c>
      <c r="I24" s="3"/>
    </row>
    <row r="25" spans="1:9" ht="15.75" customHeight="1">
      <c r="A25" s="3"/>
      <c r="D25" s="8"/>
      <c r="E25" s="4" t="s">
        <v>17</v>
      </c>
      <c r="F25" s="4" t="s">
        <v>25</v>
      </c>
      <c r="G25" s="7" t="str">
        <f>'ISIAN DATA'!I19</f>
        <v/>
      </c>
      <c r="I25" s="3"/>
    </row>
    <row r="26" spans="1:9" ht="15.75" customHeight="1">
      <c r="A26" s="3"/>
      <c r="D26" s="8" t="s">
        <v>18</v>
      </c>
      <c r="E26" s="4" t="s">
        <v>19</v>
      </c>
      <c r="I26" s="3"/>
    </row>
    <row r="27" spans="1:9" ht="15.75" customHeight="1">
      <c r="A27" s="3"/>
      <c r="I27" s="3"/>
    </row>
    <row r="28" spans="1:9" ht="15.75" customHeight="1">
      <c r="A28" s="3"/>
      <c r="C28" s="4" t="s">
        <v>20</v>
      </c>
      <c r="I28" s="3"/>
    </row>
    <row r="29" spans="1:9" ht="6" customHeight="1">
      <c r="A29" s="3"/>
      <c r="I29" s="3"/>
    </row>
    <row r="30" spans="1:9" ht="15.75" customHeight="1">
      <c r="A30" s="3"/>
      <c r="C30" s="4" t="s">
        <v>21</v>
      </c>
      <c r="F30" s="4" t="s">
        <v>25</v>
      </c>
      <c r="G30" s="7" t="str">
        <f>'ISIAN DATA'!H23</f>
        <v>TOHIRIN</v>
      </c>
      <c r="I30" s="3"/>
    </row>
    <row r="31" spans="1:9" ht="15.75" customHeight="1">
      <c r="A31" s="3"/>
      <c r="C31" s="4" t="s">
        <v>7</v>
      </c>
      <c r="F31" s="4" t="s">
        <v>25</v>
      </c>
      <c r="G31" s="9" t="str">
        <f>'ISIAN DATA'!H24</f>
        <v>3327040107730222</v>
      </c>
      <c r="I31" s="3"/>
    </row>
    <row r="32" spans="1:9" ht="15.75" customHeight="1">
      <c r="A32" s="3"/>
      <c r="C32" s="4" t="s">
        <v>9</v>
      </c>
      <c r="F32" s="4" t="s">
        <v>25</v>
      </c>
      <c r="G32" s="4" t="str">
        <f>'ISIAN DATA'!H25</f>
        <v>PEMALANG, 1 JULI 1973</v>
      </c>
      <c r="I32" s="3"/>
    </row>
    <row r="33" spans="1:9" ht="15.75" customHeight="1">
      <c r="A33" s="3"/>
      <c r="C33" s="4" t="s">
        <v>10</v>
      </c>
      <c r="F33" s="4" t="s">
        <v>25</v>
      </c>
      <c r="G33" s="4" t="str">
        <f>'ISIAN DATA'!H26</f>
        <v>INDONESIA</v>
      </c>
      <c r="I33" s="3"/>
    </row>
    <row r="34" spans="1:9" ht="15.75" customHeight="1">
      <c r="A34" s="3"/>
      <c r="C34" s="4" t="s">
        <v>11</v>
      </c>
      <c r="F34" s="4" t="s">
        <v>25</v>
      </c>
      <c r="G34" s="4" t="str">
        <f>'ISIAN DATA'!H27</f>
        <v>ISLAM</v>
      </c>
      <c r="I34" s="3"/>
    </row>
    <row r="35" spans="1:9" ht="15.75" customHeight="1">
      <c r="A35" s="3"/>
      <c r="C35" s="4" t="s">
        <v>12</v>
      </c>
      <c r="F35" s="4" t="s">
        <v>25</v>
      </c>
      <c r="G35" s="4" t="str">
        <f>'ISIAN DATA'!H28</f>
        <v>WIRASWASTA</v>
      </c>
      <c r="I35" s="3"/>
    </row>
    <row r="36" spans="1:9" ht="15.75" customHeight="1">
      <c r="A36" s="3"/>
      <c r="C36" s="4" t="s">
        <v>13</v>
      </c>
      <c r="F36" s="4" t="s">
        <v>25</v>
      </c>
      <c r="G36" s="4" t="str">
        <f>'ISIAN DATA'!H29</f>
        <v>DK. TAMBI RT 002 RW 001 TAMBI</v>
      </c>
      <c r="I36" s="3"/>
    </row>
    <row r="37" spans="1:9" ht="15.75" customHeight="1">
      <c r="A37" s="3"/>
      <c r="G37" s="4" t="str">
        <f>'ISIAN DATA'!H30</f>
        <v>KEC. WATUKUMPUL KAB. PEMALANG</v>
      </c>
      <c r="I37" s="3"/>
    </row>
    <row r="38" spans="1:9" ht="9" customHeight="1">
      <c r="A38" s="3"/>
      <c r="I38" s="3"/>
    </row>
    <row r="39" spans="1:9" ht="15.75" customHeight="1">
      <c r="A39" s="3"/>
      <c r="C39" s="4" t="s">
        <v>22</v>
      </c>
      <c r="I39" s="3"/>
    </row>
    <row r="40" spans="1:9" ht="15.75" customHeight="1">
      <c r="A40" s="3"/>
      <c r="C40" s="4" t="s">
        <v>21</v>
      </c>
      <c r="F40" s="4" t="s">
        <v>25</v>
      </c>
      <c r="G40" s="7" t="str">
        <f>'ISIAN DATA'!H32</f>
        <v>KARIPAH</v>
      </c>
      <c r="I40" s="3"/>
    </row>
    <row r="41" spans="1:9" ht="15.75" customHeight="1">
      <c r="A41" s="3"/>
      <c r="C41" s="4" t="s">
        <v>7</v>
      </c>
      <c r="F41" s="4" t="s">
        <v>25</v>
      </c>
      <c r="G41" s="4" t="str">
        <f>'ISIAN DATA'!H33</f>
        <v>3327044107740064</v>
      </c>
      <c r="I41" s="3"/>
    </row>
    <row r="42" spans="1:9" ht="15.75" customHeight="1">
      <c r="A42" s="3"/>
      <c r="C42" s="4" t="s">
        <v>9</v>
      </c>
      <c r="F42" s="4" t="s">
        <v>25</v>
      </c>
      <c r="G42" s="4" t="str">
        <f>'ISIAN DATA'!H34</f>
        <v>PEMALANG, 1 JULI 1974</v>
      </c>
      <c r="I42" s="3"/>
    </row>
    <row r="43" spans="1:9" ht="15.75" customHeight="1">
      <c r="A43" s="3"/>
      <c r="C43" s="4" t="s">
        <v>10</v>
      </c>
      <c r="F43" s="4" t="s">
        <v>25</v>
      </c>
      <c r="G43" s="4" t="str">
        <f>'ISIAN DATA'!H35</f>
        <v>INDONESIA</v>
      </c>
      <c r="I43" s="3"/>
    </row>
    <row r="44" spans="1:9" ht="15.75" customHeight="1">
      <c r="A44" s="3"/>
      <c r="C44" s="4" t="s">
        <v>11</v>
      </c>
      <c r="F44" s="4" t="s">
        <v>25</v>
      </c>
      <c r="G44" s="4" t="str">
        <f>'ISIAN DATA'!H36</f>
        <v>ISLAM</v>
      </c>
      <c r="I44" s="3"/>
    </row>
    <row r="45" spans="1:9" ht="15.75" customHeight="1">
      <c r="A45" s="3"/>
      <c r="C45" s="4" t="s">
        <v>12</v>
      </c>
      <c r="F45" s="4" t="s">
        <v>25</v>
      </c>
      <c r="G45" s="4" t="str">
        <f>'ISIAN DATA'!H37</f>
        <v>MENGURUS RUMAH TANGGA</v>
      </c>
      <c r="I45" s="3"/>
    </row>
    <row r="46" spans="1:9" ht="15.75" customHeight="1">
      <c r="A46" s="3"/>
      <c r="C46" s="4" t="s">
        <v>13</v>
      </c>
      <c r="F46" s="4" t="s">
        <v>25</v>
      </c>
      <c r="G46" s="4" t="str">
        <f>'ISIAN DATA'!H38</f>
        <v>DK. TAMBI RT 002 RW 001 TAMBI</v>
      </c>
      <c r="I46" s="3"/>
    </row>
    <row r="47" spans="1:9" ht="15.75" customHeight="1">
      <c r="A47" s="3"/>
      <c r="G47" s="4" t="str">
        <f>'ISIAN DATA'!H39</f>
        <v>KEC. WATUKUMPUL KAB. PEMALANG</v>
      </c>
      <c r="I47" s="3"/>
    </row>
    <row r="48" spans="1:9" ht="9" customHeight="1">
      <c r="A48" s="3"/>
      <c r="I48" s="3"/>
    </row>
    <row r="49" spans="1:9" ht="28.5" customHeight="1">
      <c r="A49" s="3"/>
      <c r="C49" s="284" t="s">
        <v>188</v>
      </c>
      <c r="D49" s="284"/>
      <c r="E49" s="284"/>
      <c r="F49" s="284"/>
      <c r="G49" s="284"/>
      <c r="I49" s="3"/>
    </row>
    <row r="50" spans="1:9">
      <c r="A50" s="3"/>
      <c r="I50" s="3"/>
    </row>
    <row r="51" spans="1:9">
      <c r="A51" s="3"/>
      <c r="I51" s="3"/>
    </row>
    <row r="52" spans="1:9">
      <c r="A52" s="3"/>
      <c r="G52" s="11" t="str">
        <f>'ISIAN DATA'!H8</f>
        <v>Tambi, 08 Oktober 2026</v>
      </c>
      <c r="I52" s="3"/>
    </row>
    <row r="53" spans="1:9">
      <c r="A53" s="3"/>
      <c r="E53" s="10"/>
      <c r="G53" s="11" t="str">
        <f>IF('ISIAN DATA'!C4="Definitif","","Pj. ")&amp;"Kepala Desa,"</f>
        <v>Kepala Desa,</v>
      </c>
      <c r="I53" s="3"/>
    </row>
    <row r="54" spans="1:9">
      <c r="A54" s="3"/>
      <c r="G54" s="11"/>
      <c r="I54" s="3"/>
    </row>
    <row r="55" spans="1:9">
      <c r="A55" s="3"/>
      <c r="G55" s="11"/>
      <c r="I55" s="3"/>
    </row>
    <row r="56" spans="1:9">
      <c r="A56" s="3"/>
      <c r="G56" s="11"/>
      <c r="I56" s="3"/>
    </row>
    <row r="57" spans="1:9">
      <c r="A57" s="3"/>
      <c r="G57" s="12" t="str">
        <f>'ISIAN DATA'!C5</f>
        <v>J U R I</v>
      </c>
      <c r="I57" s="3"/>
    </row>
    <row r="58" spans="1:9">
      <c r="A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/>
  </sheetData>
  <sheetProtection algorithmName="SHA-512" hashValue="JcN2uAK3Ktcf/6jep1dqajae+27nJgIn1l3DtjMn11pZKxyXHTt2t8JYVdvUrByfg1v99IKL3+j+IYKdjWxoZA==" saltValue="exRZBGF+kqrSAT3314evPg==" spinCount="100000" sheet="1" objects="1" scenarios="1"/>
  <mergeCells count="15">
    <mergeCell ref="G1:H1"/>
    <mergeCell ref="C49:G49"/>
    <mergeCell ref="D21:E21"/>
    <mergeCell ref="C6:G6"/>
    <mergeCell ref="C8:G8"/>
    <mergeCell ref="D14:E14"/>
    <mergeCell ref="D16:E16"/>
    <mergeCell ref="D17:E17"/>
    <mergeCell ref="D18:E18"/>
    <mergeCell ref="D19:E19"/>
    <mergeCell ref="C7:G7"/>
    <mergeCell ref="C10:G10"/>
    <mergeCell ref="C11:G11"/>
    <mergeCell ref="D15:E15"/>
    <mergeCell ref="D20:E20"/>
  </mergeCells>
  <hyperlinks>
    <hyperlink ref="G1" location="'ISIAN DATA'!Print_Area" display="&lt;&lt; Menu Utama"/>
  </hyperlinks>
  <pageMargins left="0.62" right="0.48" top="0.48" bottom="0.51" header="0.31496062992125984" footer="0.31496062992125984"/>
  <pageSetup paperSize="10000" orientation="portrait" horizontalDpi="4294967293" vertic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60"/>
  <sheetViews>
    <sheetView showGridLines="0" topLeftCell="A10" zoomScale="110" zoomScaleNormal="110" workbookViewId="0">
      <selection activeCell="G1" sqref="G1:H1"/>
    </sheetView>
  </sheetViews>
  <sheetFormatPr defaultColWidth="0" defaultRowHeight="14.25" zeroHeight="1"/>
  <cols>
    <col min="1" max="1" width="4.5703125" style="4" customWidth="1"/>
    <col min="2" max="2" width="1.5703125" style="4" customWidth="1"/>
    <col min="3" max="3" width="2.85546875" style="4" customWidth="1"/>
    <col min="4" max="4" width="4" style="4" customWidth="1"/>
    <col min="5" max="5" width="29" style="4" customWidth="1"/>
    <col min="6" max="6" width="1.85546875" style="4" customWidth="1"/>
    <col min="7" max="7" width="52.140625" style="4" customWidth="1"/>
    <col min="8" max="8" width="1.5703125" style="4" customWidth="1"/>
    <col min="9" max="9" width="4.5703125" style="4" customWidth="1"/>
    <col min="10" max="16384" width="9.140625" style="4" hidden="1"/>
  </cols>
  <sheetData>
    <row r="1" spans="1:9" ht="23.25" customHeight="1" thickBot="1">
      <c r="A1" s="13"/>
      <c r="B1" s="208" t="s">
        <v>413</v>
      </c>
      <c r="C1" s="207"/>
      <c r="D1" s="207"/>
      <c r="E1" s="207"/>
      <c r="F1" s="207"/>
      <c r="G1" s="282" t="s">
        <v>412</v>
      </c>
      <c r="H1" s="283"/>
      <c r="I1" s="13"/>
    </row>
    <row r="2" spans="1:9">
      <c r="A2" s="13"/>
      <c r="I2" s="13"/>
    </row>
    <row r="3" spans="1:9">
      <c r="A3" s="13"/>
      <c r="I3" s="13"/>
    </row>
    <row r="4" spans="1:9">
      <c r="A4" s="13"/>
      <c r="I4" s="13"/>
    </row>
    <row r="5" spans="1:9">
      <c r="A5" s="13"/>
      <c r="I5" s="13"/>
    </row>
    <row r="6" spans="1:9" ht="16.5" customHeight="1">
      <c r="A6" s="13"/>
      <c r="C6" s="286" t="s">
        <v>0</v>
      </c>
      <c r="D6" s="286"/>
      <c r="E6" s="286"/>
      <c r="F6" s="286"/>
      <c r="G6" s="286"/>
      <c r="I6" s="13"/>
    </row>
    <row r="7" spans="1:9" ht="16.5" customHeight="1">
      <c r="A7" s="13"/>
      <c r="C7" s="286" t="s">
        <v>1</v>
      </c>
      <c r="D7" s="286"/>
      <c r="E7" s="286"/>
      <c r="F7" s="286"/>
      <c r="G7" s="286"/>
      <c r="I7" s="13"/>
    </row>
    <row r="8" spans="1:9" ht="16.5" customHeight="1">
      <c r="A8" s="13"/>
      <c r="C8" s="286" t="str">
        <f>"DESA "&amp;'ISIAN DATA'!C3</f>
        <v>DESA TAMBI</v>
      </c>
      <c r="D8" s="286"/>
      <c r="E8" s="286"/>
      <c r="F8" s="286"/>
      <c r="G8" s="286"/>
      <c r="I8" s="13"/>
    </row>
    <row r="9" spans="1:9">
      <c r="A9" s="13"/>
      <c r="G9" s="5" t="s">
        <v>26</v>
      </c>
      <c r="I9" s="13"/>
    </row>
    <row r="10" spans="1:9" ht="18">
      <c r="A10" s="13"/>
      <c r="C10" s="287" t="s">
        <v>2</v>
      </c>
      <c r="D10" s="287"/>
      <c r="E10" s="287"/>
      <c r="F10" s="287"/>
      <c r="G10" s="287"/>
      <c r="I10" s="13"/>
    </row>
    <row r="11" spans="1:9" ht="18.75" customHeight="1">
      <c r="A11" s="13"/>
      <c r="C11" s="288" t="str">
        <f>"Nomor : "&amp;'ISIAN DATA'!H7</f>
        <v>Nomor : 400.12.3.2/19/X/2026</v>
      </c>
      <c r="D11" s="288"/>
      <c r="E11" s="288"/>
      <c r="F11" s="288"/>
      <c r="G11" s="288"/>
      <c r="I11" s="13"/>
    </row>
    <row r="12" spans="1:9">
      <c r="A12" s="13"/>
      <c r="I12" s="13"/>
    </row>
    <row r="13" spans="1:9" ht="15.75" customHeight="1">
      <c r="A13" s="13"/>
      <c r="C13" s="4" t="s">
        <v>3</v>
      </c>
      <c r="I13" s="13"/>
    </row>
    <row r="14" spans="1:9" ht="15.75" customHeight="1">
      <c r="A14" s="13"/>
      <c r="C14" s="6" t="s">
        <v>4</v>
      </c>
      <c r="D14" s="285" t="s">
        <v>5</v>
      </c>
      <c r="E14" s="285"/>
      <c r="F14" s="4" t="s">
        <v>24</v>
      </c>
      <c r="G14" s="7" t="str">
        <f>'ISIAN DATA'!H42</f>
        <v>FIKA INTAN ELMASARI</v>
      </c>
      <c r="I14" s="13"/>
    </row>
    <row r="15" spans="1:9" ht="15.75" customHeight="1">
      <c r="A15" s="13"/>
      <c r="C15" s="6" t="s">
        <v>6</v>
      </c>
      <c r="D15" s="285" t="s">
        <v>7</v>
      </c>
      <c r="E15" s="285"/>
      <c r="F15" s="4" t="s">
        <v>24</v>
      </c>
      <c r="G15" s="4" t="str">
        <f>'ISIAN DATA'!H43</f>
        <v>3327034810050002</v>
      </c>
      <c r="I15" s="13"/>
    </row>
    <row r="16" spans="1:9" ht="15.75" customHeight="1">
      <c r="A16" s="13"/>
      <c r="C16" s="6" t="s">
        <v>82</v>
      </c>
      <c r="D16" s="285" t="s">
        <v>8</v>
      </c>
      <c r="E16" s="285"/>
      <c r="F16" s="4" t="s">
        <v>24</v>
      </c>
      <c r="G16" s="4" t="s">
        <v>189</v>
      </c>
      <c r="I16" s="13"/>
    </row>
    <row r="17" spans="1:9" ht="15.75" customHeight="1">
      <c r="A17" s="13"/>
      <c r="C17" s="6" t="s">
        <v>134</v>
      </c>
      <c r="D17" s="285" t="s">
        <v>9</v>
      </c>
      <c r="E17" s="285"/>
      <c r="F17" s="4" t="s">
        <v>24</v>
      </c>
      <c r="G17" s="4" t="str">
        <f>'ISIAN DATA'!H44</f>
        <v>PEMALANG, 8 OKTOBER 2005</v>
      </c>
      <c r="I17" s="13"/>
    </row>
    <row r="18" spans="1:9" ht="15.75" customHeight="1">
      <c r="A18" s="13"/>
      <c r="C18" s="6" t="s">
        <v>135</v>
      </c>
      <c r="D18" s="285" t="s">
        <v>10</v>
      </c>
      <c r="E18" s="285"/>
      <c r="F18" s="4" t="s">
        <v>24</v>
      </c>
      <c r="G18" s="4" t="str">
        <f>'ISIAN DATA'!H46</f>
        <v>INDONESIA</v>
      </c>
      <c r="I18" s="13"/>
    </row>
    <row r="19" spans="1:9" ht="15.75" customHeight="1">
      <c r="A19" s="13"/>
      <c r="C19" s="6" t="s">
        <v>136</v>
      </c>
      <c r="D19" s="285" t="s">
        <v>11</v>
      </c>
      <c r="E19" s="285"/>
      <c r="F19" s="4" t="s">
        <v>24</v>
      </c>
      <c r="G19" s="4" t="s">
        <v>156</v>
      </c>
      <c r="I19" s="13"/>
    </row>
    <row r="20" spans="1:9" ht="15.75" customHeight="1">
      <c r="A20" s="13"/>
      <c r="C20" s="6" t="s">
        <v>137</v>
      </c>
      <c r="D20" s="285" t="s">
        <v>12</v>
      </c>
      <c r="E20" s="285"/>
      <c r="F20" s="4" t="s">
        <v>24</v>
      </c>
      <c r="G20" s="4" t="str">
        <f>'ISIAN DATA'!H45</f>
        <v>PELAJAR MAHASISWA</v>
      </c>
      <c r="I20" s="13"/>
    </row>
    <row r="21" spans="1:9" ht="15.75" customHeight="1">
      <c r="A21" s="13"/>
      <c r="C21" s="6" t="s">
        <v>138</v>
      </c>
      <c r="D21" s="285" t="s">
        <v>13</v>
      </c>
      <c r="E21" s="285"/>
      <c r="F21" s="4" t="s">
        <v>24</v>
      </c>
      <c r="G21" s="4" t="str">
        <f>'ISIAN DATA'!H48</f>
        <v>DSN SIMADU RT 003 RW 008 DESA BADAK</v>
      </c>
      <c r="I21" s="13"/>
    </row>
    <row r="22" spans="1:9" ht="15.75" customHeight="1">
      <c r="A22" s="13"/>
      <c r="C22" s="6"/>
      <c r="G22" s="4" t="str">
        <f>'ISIAN DATA'!H49</f>
        <v>KECAMATAN BELIK KABUPATEN PEMALANG</v>
      </c>
      <c r="I22" s="13"/>
    </row>
    <row r="23" spans="1:9" ht="15.75" customHeight="1">
      <c r="A23" s="13"/>
      <c r="C23" s="6" t="s">
        <v>139</v>
      </c>
      <c r="E23" s="4" t="s">
        <v>14</v>
      </c>
      <c r="I23" s="13"/>
    </row>
    <row r="24" spans="1:9" ht="15.75" customHeight="1">
      <c r="A24" s="13"/>
      <c r="D24" s="8" t="s">
        <v>15</v>
      </c>
      <c r="E24" s="4" t="s">
        <v>16</v>
      </c>
      <c r="I24" s="13"/>
    </row>
    <row r="25" spans="1:9" ht="15.75" customHeight="1">
      <c r="A25" s="13"/>
      <c r="D25" s="8"/>
      <c r="E25" s="4" t="s">
        <v>17</v>
      </c>
      <c r="G25" s="7"/>
      <c r="I25" s="13"/>
    </row>
    <row r="26" spans="1:9" ht="15.75" customHeight="1">
      <c r="A26" s="13"/>
      <c r="D26" s="8" t="s">
        <v>18</v>
      </c>
      <c r="E26" s="4" t="s">
        <v>19</v>
      </c>
      <c r="F26" s="4" t="s">
        <v>25</v>
      </c>
      <c r="G26" s="4" t="str">
        <f>'ISIAN DATA'!H47</f>
        <v>PERAWAN (BELUM KAWIN)</v>
      </c>
      <c r="I26" s="13"/>
    </row>
    <row r="27" spans="1:9" ht="15.75" customHeight="1">
      <c r="A27" s="13"/>
      <c r="I27" s="13"/>
    </row>
    <row r="28" spans="1:9" ht="15.75" customHeight="1">
      <c r="A28" s="13"/>
      <c r="C28" s="4" t="s">
        <v>20</v>
      </c>
      <c r="I28" s="13"/>
    </row>
    <row r="29" spans="1:9" ht="6" customHeight="1">
      <c r="A29" s="13"/>
      <c r="I29" s="13"/>
    </row>
    <row r="30" spans="1:9" ht="15.75" customHeight="1">
      <c r="A30" s="13"/>
      <c r="C30" s="4" t="s">
        <v>21</v>
      </c>
      <c r="F30" s="4" t="s">
        <v>25</v>
      </c>
      <c r="G30" s="7" t="str">
        <f>'ISIAN DATA'!H51</f>
        <v>SAMIUN</v>
      </c>
      <c r="I30" s="13"/>
    </row>
    <row r="31" spans="1:9" ht="15.75" customHeight="1">
      <c r="A31" s="13"/>
      <c r="C31" s="4" t="s">
        <v>7</v>
      </c>
      <c r="F31" s="4" t="s">
        <v>25</v>
      </c>
      <c r="G31" s="4" t="str">
        <f>'ISIAN DATA'!H52</f>
        <v>3327031103810011</v>
      </c>
      <c r="I31" s="13"/>
    </row>
    <row r="32" spans="1:9" ht="15.75" customHeight="1">
      <c r="A32" s="13"/>
      <c r="C32" s="4" t="s">
        <v>9</v>
      </c>
      <c r="F32" s="4" t="s">
        <v>25</v>
      </c>
      <c r="G32" s="4" t="str">
        <f>'ISIAN DATA'!H53</f>
        <v>PEMALANG, 11 MARET 1981</v>
      </c>
      <c r="I32" s="13"/>
    </row>
    <row r="33" spans="1:9" ht="15.75" customHeight="1">
      <c r="A33" s="13"/>
      <c r="C33" s="4" t="s">
        <v>10</v>
      </c>
      <c r="F33" s="4" t="s">
        <v>25</v>
      </c>
      <c r="G33" s="4" t="str">
        <f>'ISIAN DATA'!H54</f>
        <v>INDONESIA</v>
      </c>
      <c r="I33" s="13"/>
    </row>
    <row r="34" spans="1:9" ht="15.75" customHeight="1">
      <c r="A34" s="13"/>
      <c r="C34" s="4" t="s">
        <v>11</v>
      </c>
      <c r="F34" s="4" t="s">
        <v>25</v>
      </c>
      <c r="G34" s="4" t="str">
        <f>'ISIAN DATA'!H55</f>
        <v>ISLAM</v>
      </c>
      <c r="I34" s="13"/>
    </row>
    <row r="35" spans="1:9" ht="15.75" customHeight="1">
      <c r="A35" s="13"/>
      <c r="C35" s="4" t="s">
        <v>12</v>
      </c>
      <c r="F35" s="4" t="s">
        <v>25</v>
      </c>
      <c r="G35" s="4" t="str">
        <f>'ISIAN DATA'!H56</f>
        <v>PETANI</v>
      </c>
      <c r="I35" s="13"/>
    </row>
    <row r="36" spans="1:9" ht="15.75" customHeight="1">
      <c r="A36" s="13"/>
      <c r="C36" s="4" t="s">
        <v>13</v>
      </c>
      <c r="F36" s="4" t="s">
        <v>25</v>
      </c>
      <c r="G36" s="4" t="str">
        <f>'ISIAN DATA'!H57</f>
        <v>DSN SIMADU RT 003 RW 008 DESA BADAK</v>
      </c>
      <c r="I36" s="13"/>
    </row>
    <row r="37" spans="1:9" ht="15.75" customHeight="1">
      <c r="A37" s="13"/>
      <c r="G37" s="4" t="str">
        <f>'ISIAN DATA'!H58</f>
        <v>KECAMATAN BELIK KABUPATEN PEMALANG</v>
      </c>
      <c r="I37" s="13"/>
    </row>
    <row r="38" spans="1:9" ht="9" customHeight="1">
      <c r="A38" s="13"/>
      <c r="I38" s="13"/>
    </row>
    <row r="39" spans="1:9" ht="15.75" customHeight="1">
      <c r="A39" s="13"/>
      <c r="C39" s="4" t="s">
        <v>22</v>
      </c>
      <c r="I39" s="13"/>
    </row>
    <row r="40" spans="1:9" ht="15.75" customHeight="1">
      <c r="A40" s="13"/>
      <c r="C40" s="4" t="s">
        <v>21</v>
      </c>
      <c r="F40" s="4" t="s">
        <v>25</v>
      </c>
      <c r="G40" s="7" t="str">
        <f>'ISIAN DATA'!H60</f>
        <v>SRINANI</v>
      </c>
      <c r="I40" s="13"/>
    </row>
    <row r="41" spans="1:9" ht="15.75" customHeight="1">
      <c r="A41" s="13"/>
      <c r="C41" s="4" t="s">
        <v>7</v>
      </c>
      <c r="F41" s="4" t="s">
        <v>25</v>
      </c>
      <c r="G41" s="4" t="str">
        <f>'ISIAN DATA'!H61</f>
        <v>3327034101870012</v>
      </c>
      <c r="I41" s="13"/>
    </row>
    <row r="42" spans="1:9" ht="15.75" customHeight="1">
      <c r="A42" s="13"/>
      <c r="C42" s="4" t="s">
        <v>9</v>
      </c>
      <c r="F42" s="4" t="s">
        <v>25</v>
      </c>
      <c r="G42" s="4" t="str">
        <f>'ISIAN DATA'!H62</f>
        <v>PEMALANG, 1 JANUARI 1987</v>
      </c>
      <c r="I42" s="13"/>
    </row>
    <row r="43" spans="1:9" ht="15.75" customHeight="1">
      <c r="A43" s="13"/>
      <c r="C43" s="4" t="s">
        <v>10</v>
      </c>
      <c r="F43" s="4" t="s">
        <v>25</v>
      </c>
      <c r="G43" s="4" t="str">
        <f>'ISIAN DATA'!H63</f>
        <v>INDONESIA</v>
      </c>
      <c r="I43" s="13"/>
    </row>
    <row r="44" spans="1:9" ht="15.75" customHeight="1">
      <c r="A44" s="13"/>
      <c r="C44" s="4" t="s">
        <v>11</v>
      </c>
      <c r="F44" s="4" t="s">
        <v>25</v>
      </c>
      <c r="G44" s="4" t="str">
        <f>'ISIAN DATA'!H64</f>
        <v>ISLAM</v>
      </c>
      <c r="I44" s="13"/>
    </row>
    <row r="45" spans="1:9" ht="15.75" customHeight="1">
      <c r="A45" s="13"/>
      <c r="C45" s="4" t="s">
        <v>12</v>
      </c>
      <c r="F45" s="4" t="s">
        <v>25</v>
      </c>
      <c r="G45" s="4" t="str">
        <f>'ISIAN DATA'!H65</f>
        <v>MENGURUS RUMAH TANGGA</v>
      </c>
      <c r="I45" s="13"/>
    </row>
    <row r="46" spans="1:9" ht="15.75" customHeight="1">
      <c r="A46" s="13"/>
      <c r="C46" s="4" t="s">
        <v>13</v>
      </c>
      <c r="F46" s="4" t="s">
        <v>25</v>
      </c>
      <c r="G46" s="4" t="str">
        <f>'ISIAN DATA'!H66</f>
        <v>DSN SIMADU RT 003 RW 008 DESA BADAK</v>
      </c>
      <c r="I46" s="13"/>
    </row>
    <row r="47" spans="1:9" ht="15.75" customHeight="1">
      <c r="A47" s="13"/>
      <c r="G47" s="4" t="str">
        <f>'ISIAN DATA'!H67</f>
        <v>KECAMATAN BELIK KABUPATEN PEMALANG</v>
      </c>
      <c r="I47" s="13"/>
    </row>
    <row r="48" spans="1:9" ht="9" customHeight="1">
      <c r="A48" s="13"/>
      <c r="I48" s="13"/>
    </row>
    <row r="49" spans="1:9" ht="28.5" customHeight="1">
      <c r="A49" s="13"/>
      <c r="C49" s="284" t="s">
        <v>188</v>
      </c>
      <c r="D49" s="284"/>
      <c r="E49" s="284"/>
      <c r="F49" s="284"/>
      <c r="G49" s="284"/>
      <c r="I49" s="13"/>
    </row>
    <row r="50" spans="1:9">
      <c r="A50" s="13"/>
      <c r="I50" s="13"/>
    </row>
    <row r="51" spans="1:9">
      <c r="A51" s="13"/>
      <c r="I51" s="13"/>
    </row>
    <row r="52" spans="1:9">
      <c r="A52" s="13"/>
      <c r="G52" s="11" t="str">
        <f>'ISIAN DATA'!H8</f>
        <v>Tambi, 08 Oktober 2026</v>
      </c>
      <c r="I52" s="13"/>
    </row>
    <row r="53" spans="1:9">
      <c r="A53" s="13"/>
      <c r="E53" s="10"/>
      <c r="G53" s="11" t="str">
        <f>IF('ISIAN DATA'!C4="Definitif","","Pj. ")&amp;"Kepala Desa,"</f>
        <v>Kepala Desa,</v>
      </c>
      <c r="I53" s="13"/>
    </row>
    <row r="54" spans="1:9">
      <c r="A54" s="13"/>
      <c r="G54" s="11"/>
      <c r="I54" s="13"/>
    </row>
    <row r="55" spans="1:9">
      <c r="A55" s="13"/>
      <c r="G55" s="11"/>
      <c r="I55" s="13"/>
    </row>
    <row r="56" spans="1:9">
      <c r="A56" s="13"/>
      <c r="G56" s="11"/>
      <c r="I56" s="13"/>
    </row>
    <row r="57" spans="1:9">
      <c r="A57" s="13"/>
      <c r="G57" s="12" t="str">
        <f>'ISIAN DATA'!C5</f>
        <v>J U R I</v>
      </c>
      <c r="I57" s="13"/>
    </row>
    <row r="58" spans="1:9">
      <c r="A58" s="13"/>
      <c r="I58" s="13"/>
    </row>
    <row r="59" spans="1:9">
      <c r="A59" s="13"/>
      <c r="B59" s="14"/>
      <c r="C59" s="14"/>
      <c r="D59" s="14"/>
      <c r="E59" s="14"/>
      <c r="F59" s="14"/>
      <c r="G59" s="14"/>
      <c r="H59" s="14"/>
      <c r="I59" s="13"/>
    </row>
    <row r="60" spans="1:9"/>
  </sheetData>
  <sheetProtection algorithmName="SHA-512" hashValue="M9vsbsJ0IJ5avid7thZeAuGKFVeqKuLFLrLVAV1+igZ3nf0piBZHqzEzfEzWAoFwSUKxRW+BA/xVLD05D7/JnQ==" saltValue="uGLolxHJXbVblH9gcHd9Qw==" spinCount="100000" sheet="1" objects="1" scenarios="1"/>
  <mergeCells count="15">
    <mergeCell ref="G1:H1"/>
    <mergeCell ref="D20:E20"/>
    <mergeCell ref="D21:E21"/>
    <mergeCell ref="C49:G49"/>
    <mergeCell ref="D14:E14"/>
    <mergeCell ref="D15:E15"/>
    <mergeCell ref="D16:E16"/>
    <mergeCell ref="D17:E17"/>
    <mergeCell ref="D18:E18"/>
    <mergeCell ref="D19:E19"/>
    <mergeCell ref="C11:G11"/>
    <mergeCell ref="C6:G6"/>
    <mergeCell ref="C7:G7"/>
    <mergeCell ref="C8:G8"/>
    <mergeCell ref="C10:G10"/>
  </mergeCells>
  <hyperlinks>
    <hyperlink ref="G1" location="'ISIAN DATA'!Print_Area" display="&lt;&lt; Menu Utama"/>
  </hyperlinks>
  <pageMargins left="0.62" right="0.48" top="0.48" bottom="0.51" header="0.31496062992125984" footer="0.31496062992125984"/>
  <pageSetup paperSize="10000" orientation="portrait" horizontalDpi="4294967293" verticalDpi="429496729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E43"/>
  <sheetViews>
    <sheetView zoomScale="120" zoomScaleNormal="120" workbookViewId="0">
      <selection activeCell="D9" sqref="D9"/>
    </sheetView>
  </sheetViews>
  <sheetFormatPr defaultColWidth="0" defaultRowHeight="15" zeroHeight="1"/>
  <cols>
    <col min="1" max="1" width="3" style="67" customWidth="1"/>
    <col min="2" max="2" width="4" style="67" customWidth="1"/>
    <col min="3" max="3" width="34.5703125" style="67" customWidth="1"/>
    <col min="4" max="4" width="52" style="67" customWidth="1"/>
    <col min="5" max="5" width="3" style="67" customWidth="1"/>
    <col min="6" max="16384" width="9.140625" style="67" hidden="1"/>
  </cols>
  <sheetData>
    <row r="1" spans="1:5" ht="21" customHeight="1" thickBot="1">
      <c r="A1" s="216"/>
      <c r="B1" s="217" t="s">
        <v>421</v>
      </c>
      <c r="C1" s="216"/>
      <c r="D1" s="218" t="s">
        <v>412</v>
      </c>
      <c r="E1" s="216"/>
    </row>
    <row r="2" spans="1:5">
      <c r="B2" s="289" t="s">
        <v>57</v>
      </c>
      <c r="C2" s="289"/>
      <c r="D2" s="289"/>
    </row>
    <row r="3" spans="1:5">
      <c r="B3" s="289" t="s">
        <v>28</v>
      </c>
      <c r="C3" s="289"/>
      <c r="D3" s="289"/>
    </row>
    <row r="4" spans="1:5" ht="15.75">
      <c r="B4" s="290" t="s">
        <v>58</v>
      </c>
      <c r="C4" s="290"/>
      <c r="D4" s="290"/>
    </row>
    <row r="5" spans="1:5"/>
    <row r="6" spans="1:5" ht="24.75" customHeight="1">
      <c r="B6" s="291" t="s">
        <v>59</v>
      </c>
      <c r="C6" s="291"/>
      <c r="D6" s="291"/>
    </row>
    <row r="7" spans="1:5"/>
    <row r="8" spans="1:5" ht="17.25" customHeight="1">
      <c r="B8" s="67" t="s">
        <v>60</v>
      </c>
    </row>
    <row r="9" spans="1:5" ht="21.75" customHeight="1">
      <c r="B9" s="68" t="s">
        <v>61</v>
      </c>
      <c r="C9" s="68" t="s">
        <v>62</v>
      </c>
    </row>
    <row r="10" spans="1:5" ht="17.25" customHeight="1">
      <c r="C10" s="69" t="s">
        <v>271</v>
      </c>
      <c r="D10" s="70" t="str">
        <f>'ISIAN DATA'!H14</f>
        <v>AOFA ARDIAN FADILLAH AZIZ</v>
      </c>
    </row>
    <row r="11" spans="1:5" ht="17.25" customHeight="1">
      <c r="C11" s="69" t="s">
        <v>272</v>
      </c>
      <c r="D11" s="71" t="str">
        <f>UPPER('ISIAN DATA'!J23)</f>
        <v>TOHIRIN</v>
      </c>
    </row>
    <row r="12" spans="1:5" ht="17.25" customHeight="1">
      <c r="C12" s="69" t="s">
        <v>273</v>
      </c>
      <c r="D12" s="71" t="str">
        <f>'ISIAN DATA'!H15</f>
        <v>3327041308020004</v>
      </c>
    </row>
    <row r="13" spans="1:5" ht="17.25" customHeight="1">
      <c r="C13" s="69" t="s">
        <v>274</v>
      </c>
      <c r="D13" s="71" t="str">
        <f>'ISIAN DATA'!H16</f>
        <v>PEMALANG, 13 AGUSTUS 2002</v>
      </c>
    </row>
    <row r="14" spans="1:5" ht="17.25" customHeight="1">
      <c r="C14" s="69" t="s">
        <v>251</v>
      </c>
      <c r="D14" s="71" t="str">
        <f>'ISIAN DATA'!H18</f>
        <v>INDONESIA</v>
      </c>
    </row>
    <row r="15" spans="1:5" ht="17.25" customHeight="1">
      <c r="C15" s="69" t="s">
        <v>275</v>
      </c>
      <c r="D15" s="71" t="s">
        <v>156</v>
      </c>
    </row>
    <row r="16" spans="1:5" ht="17.25" customHeight="1">
      <c r="C16" s="69" t="s">
        <v>276</v>
      </c>
      <c r="D16" s="71" t="str">
        <f>'ISIAN DATA'!H17</f>
        <v>WIRASWASTA</v>
      </c>
    </row>
    <row r="17" spans="2:4" ht="17.25" customHeight="1">
      <c r="C17" s="69" t="s">
        <v>277</v>
      </c>
      <c r="D17" s="71" t="str">
        <f>'ISIAN DATA'!H20</f>
        <v>DK. TAMBI RT 002 RW 001 TAMBI</v>
      </c>
    </row>
    <row r="18" spans="2:4" ht="17.25" customHeight="1">
      <c r="D18" s="71" t="str">
        <f>'ISIAN DATA'!H21</f>
        <v>KEC. WATUKUMPUL KAB. PEMALANG</v>
      </c>
    </row>
    <row r="19" spans="2:4" ht="12.75" customHeight="1"/>
    <row r="20" spans="2:4" ht="15.75">
      <c r="B20" s="68" t="s">
        <v>64</v>
      </c>
      <c r="C20" s="68" t="s">
        <v>65</v>
      </c>
    </row>
    <row r="21" spans="2:4" ht="17.25" customHeight="1">
      <c r="C21" s="69" t="s">
        <v>271</v>
      </c>
      <c r="D21" s="70" t="str">
        <f>'ISIAN DATA'!H42</f>
        <v>FIKA INTAN ELMASARI</v>
      </c>
    </row>
    <row r="22" spans="2:4" ht="17.25" customHeight="1">
      <c r="C22" s="69" t="s">
        <v>278</v>
      </c>
      <c r="D22" s="71" t="str">
        <f>UPPER('ISIAN DATA'!J51)</f>
        <v>SAMIUN</v>
      </c>
    </row>
    <row r="23" spans="2:4" ht="17.25" customHeight="1">
      <c r="C23" s="69" t="s">
        <v>273</v>
      </c>
      <c r="D23" s="71" t="str">
        <f>'ISIAN DATA'!H43</f>
        <v>3327034810050002</v>
      </c>
    </row>
    <row r="24" spans="2:4" ht="17.25" customHeight="1">
      <c r="C24" s="69" t="s">
        <v>274</v>
      </c>
      <c r="D24" s="71" t="str">
        <f>'ISIAN DATA'!H44</f>
        <v>PEMALANG, 8 OKTOBER 2005</v>
      </c>
    </row>
    <row r="25" spans="2:4" ht="17.25" customHeight="1">
      <c r="C25" s="69" t="s">
        <v>251</v>
      </c>
      <c r="D25" s="71" t="str">
        <f>'ISIAN DATA'!H46</f>
        <v>INDONESIA</v>
      </c>
    </row>
    <row r="26" spans="2:4" ht="17.25" customHeight="1">
      <c r="C26" s="69" t="s">
        <v>275</v>
      </c>
      <c r="D26" s="71" t="s">
        <v>156</v>
      </c>
    </row>
    <row r="27" spans="2:4" ht="17.25" customHeight="1">
      <c r="C27" s="69" t="s">
        <v>276</v>
      </c>
      <c r="D27" s="71" t="str">
        <f>'ISIAN DATA'!H45</f>
        <v>PELAJAR MAHASISWA</v>
      </c>
    </row>
    <row r="28" spans="2:4" ht="17.25" customHeight="1">
      <c r="C28" s="69" t="s">
        <v>277</v>
      </c>
      <c r="D28" s="71" t="str">
        <f>'ISIAN DATA'!H48</f>
        <v>DSN SIMADU RT 003 RW 008 DESA BADAK</v>
      </c>
    </row>
    <row r="29" spans="2:4" ht="17.25" customHeight="1">
      <c r="D29" s="71" t="str">
        <f>'ISIAN DATA'!H49</f>
        <v>KECAMATAN BELIK KABUPATEN PEMALANG</v>
      </c>
    </row>
    <row r="30" spans="2:4"/>
    <row r="31" spans="2:4" ht="42" customHeight="1">
      <c r="B31" s="292" t="s">
        <v>279</v>
      </c>
      <c r="C31" s="292"/>
      <c r="D31" s="292"/>
    </row>
    <row r="32" spans="2:4"/>
    <row r="33" spans="1:5">
      <c r="B33" s="67" t="s">
        <v>67</v>
      </c>
    </row>
    <row r="34" spans="1:5"/>
    <row r="35" spans="1:5">
      <c r="D35" s="72" t="str">
        <f>'ISIAN DATA'!H8</f>
        <v>Tambi, 08 Oktober 2026</v>
      </c>
    </row>
    <row r="36" spans="1:5" ht="7.5" customHeight="1">
      <c r="D36" s="72"/>
    </row>
    <row r="37" spans="1:5">
      <c r="B37" s="73"/>
      <c r="C37" s="67" t="s">
        <v>419</v>
      </c>
      <c r="D37" s="72" t="s">
        <v>420</v>
      </c>
    </row>
    <row r="38" spans="1:5" ht="17.25" customHeight="1">
      <c r="B38" s="73"/>
      <c r="D38" s="72"/>
    </row>
    <row r="39" spans="1:5" ht="17.25" customHeight="1">
      <c r="B39" s="73"/>
      <c r="D39" s="72"/>
    </row>
    <row r="40" spans="1:5" ht="17.25" customHeight="1">
      <c r="B40" s="73"/>
      <c r="D40" s="72"/>
    </row>
    <row r="41" spans="1:5" ht="15.75">
      <c r="B41" s="74" t="str">
        <f>PROPER(D10)</f>
        <v>Aofa Ardian Fadillah Aziz</v>
      </c>
      <c r="D41" s="75" t="str">
        <f>PROPER(D21)</f>
        <v>Fika Intan Elmasari</v>
      </c>
    </row>
    <row r="42" spans="1:5" ht="5.25" customHeight="1"/>
    <row r="43" spans="1:5" ht="10.5" customHeight="1">
      <c r="A43" s="216"/>
      <c r="B43" s="216"/>
      <c r="C43" s="216"/>
      <c r="D43" s="216"/>
      <c r="E43" s="216"/>
    </row>
  </sheetData>
  <sheetProtection algorithmName="SHA-512" hashValue="KY5fE3Tz2DqHwFTehkTYTFECOVAiIzQxUyE56wmKTsLB/miVWv6M8vuJ0mIoteFPJADWi2k1s0Qxa7Yzhwy8wg==" saltValue="IXb+qlMgmtYGdu0ZFM1Iyg==" spinCount="100000" sheet="1" objects="1" scenarios="1"/>
  <mergeCells count="5">
    <mergeCell ref="B2:D2"/>
    <mergeCell ref="B3:D3"/>
    <mergeCell ref="B4:D4"/>
    <mergeCell ref="B6:D6"/>
    <mergeCell ref="B31:D31"/>
  </mergeCells>
  <hyperlinks>
    <hyperlink ref="D1" location="'ISIAN DATA'!Print_Area" display="&lt;&lt; Menu Utama"/>
  </hyperlinks>
  <pageMargins left="0.95" right="0.43" top="0.75" bottom="0.75" header="0.3" footer="0.3"/>
  <pageSetup paperSize="10000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N60"/>
  <sheetViews>
    <sheetView zoomScale="110" zoomScaleNormal="110" workbookViewId="0">
      <selection activeCell="E2" sqref="E2"/>
    </sheetView>
  </sheetViews>
  <sheetFormatPr defaultColWidth="0" defaultRowHeight="14.25" zeroHeight="1"/>
  <cols>
    <col min="1" max="1" width="2.140625" style="88" customWidth="1"/>
    <col min="2" max="2" width="3" style="88" customWidth="1"/>
    <col min="3" max="3" width="34" style="88" customWidth="1"/>
    <col min="4" max="4" width="2.42578125" style="88" customWidth="1"/>
    <col min="5" max="5" width="53.140625" style="88" customWidth="1"/>
    <col min="6" max="6" width="2.140625" style="88" customWidth="1"/>
    <col min="7" max="7" width="4.85546875" style="88" hidden="1" customWidth="1"/>
    <col min="8" max="8" width="9.28515625" style="88" hidden="1" customWidth="1"/>
    <col min="9" max="9" width="4.5703125" style="88" hidden="1" customWidth="1"/>
    <col min="10" max="10" width="4.28515625" style="88" hidden="1" customWidth="1"/>
    <col min="11" max="12" width="36.140625" style="88" hidden="1" customWidth="1"/>
    <col min="13" max="13" width="3" style="88" customWidth="1"/>
    <col min="14" max="14" width="32.42578125" style="88" hidden="1" customWidth="1"/>
    <col min="15" max="16384" width="9.140625" style="88" hidden="1"/>
  </cols>
  <sheetData>
    <row r="1" spans="1:12" ht="24" customHeight="1" thickBot="1">
      <c r="A1" s="114"/>
      <c r="B1" s="116"/>
      <c r="C1" s="116"/>
      <c r="D1" s="116"/>
      <c r="E1" s="209" t="s">
        <v>412</v>
      </c>
      <c r="F1" s="114"/>
      <c r="L1" s="88" t="s">
        <v>428</v>
      </c>
    </row>
    <row r="2" spans="1:12" ht="21" customHeight="1">
      <c r="A2" s="114"/>
      <c r="B2" s="293" t="s">
        <v>295</v>
      </c>
      <c r="C2" s="293"/>
      <c r="D2" s="112"/>
      <c r="E2" s="101" t="s">
        <v>296</v>
      </c>
      <c r="F2" s="114"/>
      <c r="G2" s="221" t="e">
        <f ca="1">IF(J5=4,4,IF(E2="Calon Suami",1,IF(E2="Calon Istri",2,4)))</f>
        <v>#NAME?</v>
      </c>
      <c r="H2" s="113"/>
      <c r="I2" s="89"/>
      <c r="J2" s="89"/>
      <c r="K2" s="89"/>
      <c r="L2" s="88" t="s">
        <v>427</v>
      </c>
    </row>
    <row r="3" spans="1:12" ht="6" customHeight="1">
      <c r="A3" s="114"/>
      <c r="B3" s="116"/>
      <c r="C3" s="116"/>
      <c r="D3" s="116"/>
      <c r="E3" s="116"/>
      <c r="F3" s="114"/>
    </row>
    <row r="4" spans="1:12" ht="8.25" customHeight="1" thickBot="1">
      <c r="A4" s="114"/>
      <c r="B4" s="296"/>
      <c r="C4" s="296"/>
      <c r="D4" s="296"/>
      <c r="E4" s="296"/>
      <c r="F4" s="114"/>
    </row>
    <row r="5" spans="1:12" ht="15" thickBot="1">
      <c r="A5" s="114"/>
      <c r="B5" s="294" t="s">
        <v>70</v>
      </c>
      <c r="C5" s="295"/>
      <c r="D5" s="295"/>
      <c r="E5" s="295"/>
      <c r="F5" s="114"/>
      <c r="G5" s="89"/>
      <c r="H5" s="89"/>
      <c r="J5" s="200" t="e">
        <f ca="1">I6+I7</f>
        <v>#NAME?</v>
      </c>
      <c r="K5" s="95" t="e">
        <f ca="1">IF(J5=1,K8,IF(J5=3,K8,IF(J5=2,L8,"NIHIL")))</f>
        <v>#NAME?</v>
      </c>
      <c r="L5" s="107"/>
    </row>
    <row r="6" spans="1:12" s="90" customFormat="1" ht="15" customHeight="1">
      <c r="A6" s="115"/>
      <c r="B6" s="297" t="s">
        <v>71</v>
      </c>
      <c r="C6" s="297"/>
      <c r="D6" s="297"/>
      <c r="E6" s="297"/>
      <c r="F6" s="115"/>
      <c r="I6" s="109" t="e" cm="1">
        <f t="array" aca="1" ref="I6" ca="1">_xlfn.IFS(K7="11",1,K7="12",1,K7="13",1,K7="14",1,K7="15",1,K7="16",1,K7="17",1,K7="18",1,K7="19",1,K7="20",1,K7&lt;&gt;"","0")</f>
        <v>#NAME?</v>
      </c>
      <c r="K6" s="95" t="e">
        <f ca="1">IF(J5=3,L8,"")</f>
        <v>#NAME?</v>
      </c>
      <c r="L6" s="108"/>
    </row>
    <row r="7" spans="1:12" ht="14.25" customHeight="1">
      <c r="A7" s="114"/>
      <c r="F7" s="114"/>
      <c r="I7" s="109" t="e" cm="1">
        <f t="array" aca="1" ref="I7" ca="1">_xlfn.IFS(L7="11",2,L7="12",2,L7="13",2,L7="14",2,L7="15",2,L7="16",2,L7="17",2,L7="18",2,L7="19",2,L7="20",2,L7&lt;&gt;"","0")</f>
        <v>#NAME?</v>
      </c>
      <c r="K7" s="201" t="str">
        <f ca="1">'ISIAN DATA'!J17</f>
        <v>24</v>
      </c>
      <c r="L7" s="201" t="str">
        <f ca="1">'ISIAN DATA'!J45</f>
        <v>20</v>
      </c>
    </row>
    <row r="8" spans="1:12" ht="15">
      <c r="A8" s="114"/>
      <c r="B8" s="91" t="s">
        <v>289</v>
      </c>
      <c r="E8" s="91"/>
      <c r="F8" s="114"/>
      <c r="K8" s="102" t="s">
        <v>296</v>
      </c>
      <c r="L8" s="102" t="s">
        <v>297</v>
      </c>
    </row>
    <row r="9" spans="1:12" ht="6.75" customHeight="1">
      <c r="A9" s="114"/>
      <c r="B9" s="91"/>
      <c r="C9" s="91"/>
      <c r="D9" s="91"/>
      <c r="E9" s="91"/>
      <c r="F9" s="114"/>
      <c r="K9" s="232"/>
      <c r="L9" s="232"/>
    </row>
    <row r="10" spans="1:12" ht="15.75" customHeight="1">
      <c r="A10" s="114"/>
      <c r="B10" s="91" t="s">
        <v>61</v>
      </c>
      <c r="C10" s="94" t="s">
        <v>271</v>
      </c>
      <c r="D10" s="94" t="s">
        <v>25</v>
      </c>
      <c r="E10" s="111" t="e">
        <f ca="1">IF($G$2=1,K10,IF($G$2=2,L10,"TIDAK ADA DATA"))</f>
        <v>#NAME?</v>
      </c>
      <c r="F10" s="114"/>
      <c r="G10" s="88">
        <v>1</v>
      </c>
      <c r="H10" s="88" t="s">
        <v>291</v>
      </c>
      <c r="I10" s="88">
        <v>2</v>
      </c>
      <c r="K10" s="92" t="str">
        <f>IF($I$32=0,L2,'ISIAN DATA'!H23)</f>
        <v>TOHIRIN</v>
      </c>
      <c r="L10" s="92" t="str">
        <f>IF($I$43=0,L2,'ISIAN DATA'!H51)</f>
        <v>SAMIUN</v>
      </c>
    </row>
    <row r="11" spans="1:12" ht="15.75" customHeight="1">
      <c r="A11" s="114"/>
      <c r="B11" s="91"/>
      <c r="C11" s="94" t="s">
        <v>272</v>
      </c>
      <c r="D11" s="94" t="s">
        <v>25</v>
      </c>
      <c r="E11" s="91" t="e">
        <f ca="1">IF($G$2=1,K11,IF($G$2=2,L11,"-"))</f>
        <v>#NAME?</v>
      </c>
      <c r="F11" s="114"/>
      <c r="G11" s="88">
        <v>2</v>
      </c>
      <c r="H11" s="88" t="s">
        <v>293</v>
      </c>
      <c r="I11" s="108" t="s">
        <v>298</v>
      </c>
      <c r="K11" s="93" t="str">
        <f>IF($I$32=0,L2,PROPER('ISIAN DATA'!D23))</f>
        <v>Muhayat</v>
      </c>
      <c r="L11" s="93" t="str">
        <f>IF($I$43=0,L2,PROPER('ISIAN DATA'!D51))</f>
        <v>Wasnuri</v>
      </c>
    </row>
    <row r="12" spans="1:12" ht="15.75" customHeight="1">
      <c r="A12" s="114"/>
      <c r="B12" s="91"/>
      <c r="C12" s="94" t="s">
        <v>287</v>
      </c>
      <c r="D12" s="94" t="s">
        <v>25</v>
      </c>
      <c r="E12" s="91" t="e">
        <f t="shared" ref="E12:E18" ca="1" si="0">IF($G$2=1,K12,IF($G$2=2,L12,"-"))</f>
        <v>#NAME?</v>
      </c>
      <c r="F12" s="114"/>
      <c r="G12" s="88">
        <v>3</v>
      </c>
      <c r="H12" s="88" t="s">
        <v>292</v>
      </c>
      <c r="I12" s="108" t="s">
        <v>298</v>
      </c>
      <c r="K12" s="93" t="str">
        <f>IF($I$32=0,L2,PROPER('ISIAN DATA'!H24))</f>
        <v>3327040107730222</v>
      </c>
      <c r="L12" s="93" t="str">
        <f>IF($I$43=0,L2,PROPER('ISIAN DATA'!H52))</f>
        <v>3327031103810011</v>
      </c>
    </row>
    <row r="13" spans="1:12" ht="15.75" customHeight="1">
      <c r="A13" s="114"/>
      <c r="B13" s="91"/>
      <c r="C13" s="94" t="s">
        <v>274</v>
      </c>
      <c r="D13" s="94" t="s">
        <v>25</v>
      </c>
      <c r="E13" s="91" t="e">
        <f t="shared" ca="1" si="0"/>
        <v>#NAME?</v>
      </c>
      <c r="F13" s="114"/>
      <c r="G13" s="88">
        <v>4</v>
      </c>
      <c r="H13" s="88" t="s">
        <v>294</v>
      </c>
      <c r="I13" s="88">
        <v>4</v>
      </c>
      <c r="K13" s="93" t="str">
        <f>IF($I$32=0,L2,PROPER('ISIAN DATA'!H25))</f>
        <v>Pemalang, 1 Juli 1973</v>
      </c>
      <c r="L13" s="93" t="str">
        <f>IF($I$43=0,L2,PROPER('ISIAN DATA'!H53))</f>
        <v>Pemalang, 11 Maret 1981</v>
      </c>
    </row>
    <row r="14" spans="1:12" ht="15.75" customHeight="1">
      <c r="A14" s="114"/>
      <c r="B14" s="91"/>
      <c r="C14" s="94" t="s">
        <v>251</v>
      </c>
      <c r="D14" s="94" t="s">
        <v>25</v>
      </c>
      <c r="E14" s="91" t="e">
        <f t="shared" ca="1" si="0"/>
        <v>#NAME?</v>
      </c>
      <c r="F14" s="114"/>
      <c r="J14" s="108"/>
      <c r="K14" s="93" t="str">
        <f>IF($I$32=0,"Indonesia",PROPER('ISIAN DATA'!H26))</f>
        <v>Indonesia</v>
      </c>
      <c r="L14" s="93" t="str">
        <f>IF($I$43=0,"Indonesia",PROPER('ISIAN DATA'!H54))</f>
        <v>Indonesia</v>
      </c>
    </row>
    <row r="15" spans="1:12" ht="15.75" customHeight="1">
      <c r="A15" s="114"/>
      <c r="B15" s="91"/>
      <c r="C15" s="94" t="s">
        <v>275</v>
      </c>
      <c r="D15" s="94" t="s">
        <v>25</v>
      </c>
      <c r="E15" s="91" t="e">
        <f ca="1">IF($G$2=1,K15,IF($G$2=2,L15,"-"))</f>
        <v>#NAME?</v>
      </c>
      <c r="F15" s="114"/>
      <c r="K15" s="93" t="str">
        <f>IF($I$32=0,"Islam",PROPER('ISIAN DATA'!H27))</f>
        <v>Islam</v>
      </c>
      <c r="L15" s="93" t="str">
        <f>IF($I$43=0,"Islam",PROPER('ISIAN DATA'!H55))</f>
        <v>Islam</v>
      </c>
    </row>
    <row r="16" spans="1:12" ht="15.75" customHeight="1">
      <c r="A16" s="114"/>
      <c r="B16" s="91"/>
      <c r="C16" s="94" t="s">
        <v>276</v>
      </c>
      <c r="D16" s="94" t="s">
        <v>25</v>
      </c>
      <c r="E16" s="91" t="e">
        <f t="shared" ca="1" si="0"/>
        <v>#NAME?</v>
      </c>
      <c r="F16" s="114"/>
      <c r="K16" s="93" t="str">
        <f>IF($I$32=0,L2,PROPER('ISIAN DATA'!H28))</f>
        <v>Wiraswasta</v>
      </c>
      <c r="L16" s="93" t="str">
        <f>IF($I$43=0,L2,PROPER('ISIAN DATA'!H56))</f>
        <v>Petani</v>
      </c>
    </row>
    <row r="17" spans="1:12" ht="15.75" customHeight="1">
      <c r="A17" s="114"/>
      <c r="B17" s="91"/>
      <c r="C17" s="94" t="s">
        <v>277</v>
      </c>
      <c r="D17" s="94" t="s">
        <v>25</v>
      </c>
      <c r="E17" s="91" t="e">
        <f t="shared" ca="1" si="0"/>
        <v>#NAME?</v>
      </c>
      <c r="F17" s="114"/>
      <c r="K17" s="93" t="str">
        <f>IF($I$32=0,L2,PROPER('ISIAN DATA'!H29))</f>
        <v>Dk. Tambi Rt 002 Rw 001 Tambi</v>
      </c>
      <c r="L17" s="93" t="str">
        <f>IF($I$43=0,L2,PROPER('ISIAN DATA'!H57))</f>
        <v>Dsn Simadu Rt 003 Rw 008 Desa Badak</v>
      </c>
    </row>
    <row r="18" spans="1:12" ht="15.75" customHeight="1">
      <c r="A18" s="114"/>
      <c r="B18" s="91"/>
      <c r="C18" s="94"/>
      <c r="D18" s="94"/>
      <c r="E18" s="91" t="e">
        <f t="shared" ca="1" si="0"/>
        <v>#NAME?</v>
      </c>
      <c r="F18" s="114"/>
      <c r="K18" s="93" t="str">
        <f>IF($I$32=0,L2,PROPER('ISIAN DATA'!H30))</f>
        <v>Kec. Watukumpul Kab. Pemalang</v>
      </c>
      <c r="L18" s="93" t="str">
        <f>IF($I$43=0,L2,PROPER('ISIAN DATA'!H58))</f>
        <v>Kecamatan Belik Kabupaten Pemalang</v>
      </c>
    </row>
    <row r="19" spans="1:12" ht="7.5" customHeight="1">
      <c r="A19" s="114"/>
      <c r="B19" s="91"/>
      <c r="C19" s="94"/>
      <c r="D19" s="94"/>
      <c r="E19" s="93"/>
      <c r="F19" s="114"/>
      <c r="K19" s="231"/>
      <c r="L19" s="231"/>
    </row>
    <row r="20" spans="1:12" ht="15.75" customHeight="1">
      <c r="A20" s="114"/>
      <c r="B20" s="91" t="s">
        <v>64</v>
      </c>
      <c r="C20" s="94" t="s">
        <v>271</v>
      </c>
      <c r="D20" s="94" t="s">
        <v>25</v>
      </c>
      <c r="E20" s="111" t="e">
        <f ca="1">IF($G$2=1,K20,IF($G$2=2,L20,"TIDAK ADA DATA"))</f>
        <v>#NAME?</v>
      </c>
      <c r="F20" s="114"/>
      <c r="K20" s="92" t="str">
        <f>IF($J$32=0,L2,'ISIAN DATA'!H32)</f>
        <v>KARIPAH</v>
      </c>
      <c r="L20" s="92" t="str">
        <f>IF($J$43=0,L2,'ISIAN DATA'!H60)</f>
        <v>SRINANI</v>
      </c>
    </row>
    <row r="21" spans="1:12" ht="15.75" customHeight="1">
      <c r="A21" s="114"/>
      <c r="B21" s="91"/>
      <c r="C21" s="94" t="s">
        <v>278</v>
      </c>
      <c r="D21" s="94" t="s">
        <v>25</v>
      </c>
      <c r="E21" s="91" t="e">
        <f ca="1">IF($G$2=1,K21,IF($G$2=2,L21,"-"))</f>
        <v>#NAME?</v>
      </c>
      <c r="F21" s="114"/>
      <c r="K21" s="93" t="str">
        <f>IF($J$32=0,L2,PROPER('ISIAN DATA'!D32))</f>
        <v>Sumarto</v>
      </c>
      <c r="L21" s="93" t="str">
        <f>IF($J$43=0,L2,PROPER('ISIAN DATA'!D60))</f>
        <v>Sahron</v>
      </c>
    </row>
    <row r="22" spans="1:12" ht="15.75" customHeight="1">
      <c r="A22" s="114"/>
      <c r="B22" s="91"/>
      <c r="C22" s="94" t="s">
        <v>287</v>
      </c>
      <c r="D22" s="94" t="s">
        <v>25</v>
      </c>
      <c r="E22" s="91" t="e">
        <f t="shared" ref="E22:E28" ca="1" si="1">IF($G$2=1,K22,IF($G$2=2,L22,"-"))</f>
        <v>#NAME?</v>
      </c>
      <c r="F22" s="114"/>
      <c r="K22" s="93" t="str">
        <f>IF($J$32=0,L2,PROPER('ISIAN DATA'!H33))</f>
        <v>3327044107740064</v>
      </c>
      <c r="L22" s="93" t="str">
        <f>IF($J$43=0,L2,PROPER('ISIAN DATA'!H61))</f>
        <v>3327034101870012</v>
      </c>
    </row>
    <row r="23" spans="1:12" ht="15.75" customHeight="1">
      <c r="A23" s="114"/>
      <c r="B23" s="91"/>
      <c r="C23" s="94" t="s">
        <v>274</v>
      </c>
      <c r="D23" s="94" t="s">
        <v>25</v>
      </c>
      <c r="E23" s="91" t="e">
        <f t="shared" ca="1" si="1"/>
        <v>#NAME?</v>
      </c>
      <c r="F23" s="114"/>
      <c r="K23" s="93" t="str">
        <f>IF($J$32=0,L2,PROPER('ISIAN DATA'!H34))</f>
        <v>Pemalang, 1 Juli 1974</v>
      </c>
      <c r="L23" s="93" t="str">
        <f>IF($J$43=0,L2,PROPER('ISIAN DATA'!H62))</f>
        <v>Pemalang, 1 Januari 1987</v>
      </c>
    </row>
    <row r="24" spans="1:12" ht="15.75" customHeight="1">
      <c r="A24" s="114"/>
      <c r="B24" s="91"/>
      <c r="C24" s="94" t="s">
        <v>251</v>
      </c>
      <c r="D24" s="94" t="s">
        <v>25</v>
      </c>
      <c r="E24" s="91" t="e">
        <f t="shared" ca="1" si="1"/>
        <v>#NAME?</v>
      </c>
      <c r="F24" s="114"/>
      <c r="K24" s="93" t="str">
        <f>IF($J$32=0,"Indonesia",PROPER('ISIAN DATA'!H35))</f>
        <v>Indonesia</v>
      </c>
      <c r="L24" s="93" t="str">
        <f>IF($J$43=0,"Indonesia",PROPER('ISIAN DATA'!H63))</f>
        <v>Indonesia</v>
      </c>
    </row>
    <row r="25" spans="1:12" ht="15.75" customHeight="1">
      <c r="A25" s="114"/>
      <c r="B25" s="91"/>
      <c r="C25" s="94" t="s">
        <v>275</v>
      </c>
      <c r="D25" s="94" t="s">
        <v>25</v>
      </c>
      <c r="E25" s="91" t="e">
        <f t="shared" ca="1" si="1"/>
        <v>#NAME?</v>
      </c>
      <c r="F25" s="114"/>
      <c r="K25" s="93" t="str">
        <f>IF($J$32=0,"Islam",PROPER('ISIAN DATA'!H36))</f>
        <v>Islam</v>
      </c>
      <c r="L25" s="93" t="str">
        <f>IF($J$43=0,"Islam",PROPER('ISIAN DATA'!H64))</f>
        <v>Islam</v>
      </c>
    </row>
    <row r="26" spans="1:12" ht="15.75" customHeight="1">
      <c r="A26" s="114"/>
      <c r="B26" s="91"/>
      <c r="C26" s="94" t="s">
        <v>276</v>
      </c>
      <c r="D26" s="94" t="s">
        <v>25</v>
      </c>
      <c r="E26" s="91" t="e">
        <f t="shared" ca="1" si="1"/>
        <v>#NAME?</v>
      </c>
      <c r="F26" s="114"/>
      <c r="K26" s="93" t="str">
        <f>IF($J$32=0,L2,PROPER('ISIAN DATA'!H37))</f>
        <v>Mengurus Rumah Tangga</v>
      </c>
      <c r="L26" s="93" t="str">
        <f>IF($J$43=0,L2,PROPER('ISIAN DATA'!H65))</f>
        <v>Mengurus Rumah Tangga</v>
      </c>
    </row>
    <row r="27" spans="1:12" ht="15.75" customHeight="1">
      <c r="A27" s="114"/>
      <c r="B27" s="91"/>
      <c r="C27" s="94" t="s">
        <v>277</v>
      </c>
      <c r="D27" s="94" t="s">
        <v>25</v>
      </c>
      <c r="E27" s="91" t="e">
        <f t="shared" ca="1" si="1"/>
        <v>#NAME?</v>
      </c>
      <c r="F27" s="114"/>
      <c r="K27" s="93" t="str">
        <f>IF($J$32=0,L2,PROPER('ISIAN DATA'!H38))</f>
        <v>Dk. Tambi Rt 002 Rw 001 Tambi</v>
      </c>
      <c r="L27" s="93" t="str">
        <f>IF($J$43=0,L2,PROPER('ISIAN DATA'!H66))</f>
        <v>Dsn Simadu Rt 003 Rw 008 Desa Badak</v>
      </c>
    </row>
    <row r="28" spans="1:12" ht="15.75" customHeight="1">
      <c r="A28" s="114"/>
      <c r="B28" s="91"/>
      <c r="C28" s="91"/>
      <c r="D28" s="91"/>
      <c r="E28" s="91" t="e">
        <f t="shared" ca="1" si="1"/>
        <v>#NAME?</v>
      </c>
      <c r="F28" s="114"/>
      <c r="K28" s="93" t="str">
        <f>IF($J$32=0,L2,PROPER('ISIAN DATA'!H39))</f>
        <v>Kec. Watukumpul Kab. Pemalang</v>
      </c>
      <c r="L28" s="93" t="str">
        <f>IF($J$43=0,L2,PROPER('ISIAN DATA'!H67))</f>
        <v>Kecamatan Belik Kabupaten Pemalang</v>
      </c>
    </row>
    <row r="29" spans="1:12" ht="2.25" customHeight="1">
      <c r="A29" s="114"/>
      <c r="B29" s="91"/>
      <c r="C29" s="91"/>
      <c r="D29" s="91"/>
      <c r="E29" s="91"/>
      <c r="F29" s="114"/>
      <c r="K29" s="91"/>
      <c r="L29" s="91"/>
    </row>
    <row r="30" spans="1:12" ht="21.75" customHeight="1" thickBot="1">
      <c r="A30" s="114"/>
      <c r="B30" s="91"/>
      <c r="C30" s="96" t="s">
        <v>72</v>
      </c>
      <c r="D30" s="96"/>
      <c r="E30" s="91"/>
      <c r="F30" s="114"/>
      <c r="K30" s="91"/>
      <c r="L30" s="91"/>
    </row>
    <row r="31" spans="1:12" ht="15.75" customHeight="1" thickBot="1">
      <c r="A31" s="114"/>
      <c r="B31" s="91"/>
      <c r="C31" s="94" t="s">
        <v>271</v>
      </c>
      <c r="D31" s="94" t="s">
        <v>25</v>
      </c>
      <c r="E31" s="111" t="e">
        <f ca="1">IF($G$2=1,K31,IF($G$2=2,L31,"Hey, Mau cetak apa?"))</f>
        <v>#NAME?</v>
      </c>
      <c r="F31" s="114"/>
      <c r="H31" s="110" t="e">
        <f ca="1">IF($G$2=1,I31,J31)</f>
        <v>#NAME?</v>
      </c>
      <c r="I31" s="103" t="s">
        <v>292</v>
      </c>
      <c r="J31" s="103" t="s">
        <v>293</v>
      </c>
      <c r="K31" s="92" t="str">
        <f>'ISIAN DATA'!H14</f>
        <v>AOFA ARDIAN FADILLAH AZIZ</v>
      </c>
      <c r="L31" s="92" t="str">
        <f>'ISIAN DATA'!H42</f>
        <v>FIKA INTAN ELMASARI</v>
      </c>
    </row>
    <row r="32" spans="1:12" ht="15.75" customHeight="1">
      <c r="A32" s="114"/>
      <c r="B32" s="91"/>
      <c r="C32" s="94" t="e">
        <f ca="1">H32</f>
        <v>#NAME?</v>
      </c>
      <c r="D32" s="94" t="s">
        <v>25</v>
      </c>
      <c r="E32" s="91" t="e">
        <f ca="1">IF($G$2=1,K32,IF($G$2=2,L32,"-"))</f>
        <v>#NAME?</v>
      </c>
      <c r="F32" s="114"/>
      <c r="H32" s="88" t="e">
        <f ca="1">IF(H31="Pa","2. Bin","2. Binti")</f>
        <v>#NAME?</v>
      </c>
      <c r="I32" s="108">
        <f>'ISIAN DATA'!G23</f>
        <v>1</v>
      </c>
      <c r="J32" s="108">
        <f>'ISIAN DATA'!G32</f>
        <v>1</v>
      </c>
      <c r="K32" s="93" t="str">
        <f>'ISIAN DATA'!J23</f>
        <v>Tohirin</v>
      </c>
      <c r="L32" s="93" t="str">
        <f>'ISIAN DATA'!J51</f>
        <v>Samiun</v>
      </c>
    </row>
    <row r="33" spans="1:12" ht="15.75" customHeight="1">
      <c r="A33" s="114"/>
      <c r="B33" s="91"/>
      <c r="C33" s="94" t="s">
        <v>287</v>
      </c>
      <c r="D33" s="94" t="s">
        <v>25</v>
      </c>
      <c r="E33" s="91" t="e">
        <f t="shared" ref="E33:E39" ca="1" si="2">IF($G$2=1,K33,IF($G$2=2,L33,"-"))</f>
        <v>#NAME?</v>
      </c>
      <c r="F33" s="114"/>
      <c r="I33" s="88" t="str">
        <f>IF(I32=1,"Ayah,","Pengampu I")</f>
        <v>Ayah,</v>
      </c>
      <c r="J33" s="88" t="str">
        <f>IF(J32=1,"Ibu,","Pengampu II")</f>
        <v>Ibu,</v>
      </c>
      <c r="K33" s="93" t="str">
        <f>PROPER('ISIAN DATA'!H15)</f>
        <v>3327041308020004</v>
      </c>
      <c r="L33" s="93" t="str">
        <f>PROPER('ISIAN DATA'!H43)</f>
        <v>3327034810050002</v>
      </c>
    </row>
    <row r="34" spans="1:12" ht="15.75" customHeight="1">
      <c r="A34" s="114"/>
      <c r="B34" s="91"/>
      <c r="C34" s="94" t="s">
        <v>274</v>
      </c>
      <c r="D34" s="94" t="s">
        <v>25</v>
      </c>
      <c r="E34" s="91" t="e">
        <f t="shared" ca="1" si="2"/>
        <v>#NAME?</v>
      </c>
      <c r="F34" s="114"/>
      <c r="I34" s="88" t="str">
        <f>IF(I32=1,PROPER(K10),L1)</f>
        <v>Tohirin</v>
      </c>
      <c r="J34" s="88" t="str">
        <f>IF(J32=1,PROPER(K20),L1)</f>
        <v>Karipah</v>
      </c>
      <c r="K34" s="93" t="str">
        <f>PROPER('ISIAN DATA'!H16)</f>
        <v>Pemalang, 13 Agustus 2002</v>
      </c>
      <c r="L34" s="93" t="str">
        <f>PROPER('ISIAN DATA'!H44)</f>
        <v>Pemalang, 8 Oktober 2005</v>
      </c>
    </row>
    <row r="35" spans="1:12" ht="15.75" customHeight="1">
      <c r="A35" s="114"/>
      <c r="B35" s="91"/>
      <c r="C35" s="94" t="s">
        <v>251</v>
      </c>
      <c r="D35" s="94" t="s">
        <v>25</v>
      </c>
      <c r="E35" s="91" t="e">
        <f t="shared" ca="1" si="2"/>
        <v>#NAME?</v>
      </c>
      <c r="F35" s="114"/>
      <c r="K35" s="93" t="str">
        <f>PROPER('ISIAN DATA'!H18)</f>
        <v>Indonesia</v>
      </c>
      <c r="L35" s="93" t="str">
        <f>PROPER('ISIAN DATA'!H46)</f>
        <v>Indonesia</v>
      </c>
    </row>
    <row r="36" spans="1:12" ht="15.75" customHeight="1">
      <c r="A36" s="114"/>
      <c r="B36" s="91"/>
      <c r="C36" s="94" t="s">
        <v>275</v>
      </c>
      <c r="D36" s="94" t="s">
        <v>25</v>
      </c>
      <c r="E36" s="91" t="e">
        <f t="shared" ca="1" si="2"/>
        <v>#NAME?</v>
      </c>
      <c r="F36" s="114"/>
      <c r="K36" s="93" t="s">
        <v>290</v>
      </c>
      <c r="L36" s="93" t="s">
        <v>290</v>
      </c>
    </row>
    <row r="37" spans="1:12" ht="15.75" customHeight="1">
      <c r="A37" s="114"/>
      <c r="B37" s="91"/>
      <c r="C37" s="94" t="s">
        <v>276</v>
      </c>
      <c r="D37" s="94" t="s">
        <v>25</v>
      </c>
      <c r="E37" s="91" t="e">
        <f t="shared" ca="1" si="2"/>
        <v>#NAME?</v>
      </c>
      <c r="F37" s="114"/>
      <c r="K37" s="93" t="str">
        <f>PROPER('ISIAN DATA'!H17)</f>
        <v>Wiraswasta</v>
      </c>
      <c r="L37" s="93" t="str">
        <f>PROPER('ISIAN DATA'!H45)</f>
        <v>Pelajar Mahasiswa</v>
      </c>
    </row>
    <row r="38" spans="1:12" ht="15.75" customHeight="1">
      <c r="A38" s="114"/>
      <c r="B38" s="91"/>
      <c r="C38" s="94" t="s">
        <v>277</v>
      </c>
      <c r="D38" s="94" t="s">
        <v>25</v>
      </c>
      <c r="E38" s="91" t="e">
        <f t="shared" ca="1" si="2"/>
        <v>#NAME?</v>
      </c>
      <c r="F38" s="114"/>
      <c r="K38" s="93" t="str">
        <f>PROPER('ISIAN DATA'!H20)</f>
        <v>Dk. Tambi Rt 002 Rw 001 Tambi</v>
      </c>
      <c r="L38" s="93" t="str">
        <f>PROPER('ISIAN DATA'!H48)</f>
        <v>Dsn Simadu Rt 003 Rw 008 Desa Badak</v>
      </c>
    </row>
    <row r="39" spans="1:12" ht="15.75" customHeight="1">
      <c r="A39" s="114"/>
      <c r="B39" s="91"/>
      <c r="C39" s="91"/>
      <c r="D39" s="91"/>
      <c r="E39" s="91" t="e">
        <f t="shared" ca="1" si="2"/>
        <v>#NAME?</v>
      </c>
      <c r="F39" s="114"/>
      <c r="K39" s="93" t="str">
        <f>PROPER('ISIAN DATA'!H21)</f>
        <v>Kec. Watukumpul Kab. Pemalang</v>
      </c>
      <c r="L39" s="93" t="str">
        <f>PROPER('ISIAN DATA'!H49)</f>
        <v>Kecamatan Belik Kabupaten Pemalang</v>
      </c>
    </row>
    <row r="40" spans="1:12" ht="9" customHeight="1">
      <c r="A40" s="114"/>
      <c r="B40" s="91"/>
      <c r="C40" s="91"/>
      <c r="D40" s="91"/>
      <c r="E40" s="93"/>
      <c r="F40" s="114"/>
      <c r="K40" s="93"/>
      <c r="L40" s="93"/>
    </row>
    <row r="41" spans="1:12" ht="33" customHeight="1" thickBot="1">
      <c r="A41" s="114"/>
      <c r="B41" s="91"/>
      <c r="C41" s="298" t="s">
        <v>73</v>
      </c>
      <c r="D41" s="298"/>
      <c r="E41" s="298"/>
      <c r="F41" s="114"/>
    </row>
    <row r="42" spans="1:12" ht="15.75" customHeight="1" thickBot="1">
      <c r="A42" s="114"/>
      <c r="B42" s="91"/>
      <c r="C42" s="94" t="s">
        <v>271</v>
      </c>
      <c r="D42" s="94" t="s">
        <v>25</v>
      </c>
      <c r="E42" s="111" t="e">
        <f ca="1">IF($G$2=1,K42,IF($G$2=2,L42,"Hey, Mau cetak apa?"))</f>
        <v>#NAME?</v>
      </c>
      <c r="F42" s="114"/>
      <c r="H42" s="110" t="e">
        <f ca="1">IF($G$2=1,J42,I42)</f>
        <v>#NAME?</v>
      </c>
      <c r="I42" s="103" t="s">
        <v>292</v>
      </c>
      <c r="J42" s="103" t="s">
        <v>293</v>
      </c>
      <c r="K42" s="92" t="str">
        <f>'ISIAN DATA'!H42</f>
        <v>FIKA INTAN ELMASARI</v>
      </c>
      <c r="L42" s="92" t="str">
        <f>'ISIAN DATA'!H14</f>
        <v>AOFA ARDIAN FADILLAH AZIZ</v>
      </c>
    </row>
    <row r="43" spans="1:12" ht="15.75" customHeight="1">
      <c r="A43" s="114"/>
      <c r="B43" s="91"/>
      <c r="C43" s="94" t="e">
        <f ca="1">H43</f>
        <v>#NAME?</v>
      </c>
      <c r="D43" s="94" t="s">
        <v>25</v>
      </c>
      <c r="E43" s="91" t="e">
        <f ca="1">IF($G$2=1,K43,IF($G$2=2,L43,"-"))</f>
        <v>#NAME?</v>
      </c>
      <c r="F43" s="114"/>
      <c r="H43" s="88" t="e">
        <f ca="1">IF(H42="Pa","2. Bin","2. Binti")</f>
        <v>#NAME?</v>
      </c>
      <c r="I43" s="108">
        <f>'ISIAN DATA'!G51</f>
        <v>1</v>
      </c>
      <c r="J43" s="108">
        <f>'ISIAN DATA'!G60</f>
        <v>1</v>
      </c>
      <c r="K43" s="93" t="str">
        <f>'ISIAN DATA'!J51</f>
        <v>Samiun</v>
      </c>
      <c r="L43" s="93" t="str">
        <f>'ISIAN DATA'!J23</f>
        <v>Tohirin</v>
      </c>
    </row>
    <row r="44" spans="1:12" ht="15.75" customHeight="1">
      <c r="A44" s="114"/>
      <c r="B44" s="91"/>
      <c r="C44" s="94" t="s">
        <v>287</v>
      </c>
      <c r="D44" s="94" t="s">
        <v>25</v>
      </c>
      <c r="E44" s="91" t="e">
        <f ca="1">IF($G$2=1,K44,IF($G$2=2,L44,"-"))</f>
        <v>#NAME?</v>
      </c>
      <c r="F44" s="114"/>
      <c r="I44" s="88" t="str">
        <f>IF(I43=1,"Ayah,","Pengampu I")</f>
        <v>Ayah,</v>
      </c>
      <c r="J44" s="88" t="str">
        <f>IF(J43=1,"Ibu,","Pengampu II")</f>
        <v>Ibu,</v>
      </c>
      <c r="K44" s="93" t="str">
        <f>PROPER('ISIAN DATA'!H43)</f>
        <v>3327034810050002</v>
      </c>
      <c r="L44" s="93" t="str">
        <f>PROPER('ISIAN DATA'!H15)</f>
        <v>3327041308020004</v>
      </c>
    </row>
    <row r="45" spans="1:12" ht="15.75" customHeight="1">
      <c r="A45" s="114"/>
      <c r="B45" s="91"/>
      <c r="C45" s="94" t="s">
        <v>274</v>
      </c>
      <c r="D45" s="94" t="s">
        <v>25</v>
      </c>
      <c r="E45" s="91" t="e">
        <f t="shared" ref="E45:E50" ca="1" si="3">IF($G$2=1,K45,IF($G$2=2,L45,"-"))</f>
        <v>#NAME?</v>
      </c>
      <c r="F45" s="114"/>
      <c r="I45" s="88" t="str">
        <f>IF(I43=1,PROPER(L10),L1)</f>
        <v>Samiun</v>
      </c>
      <c r="J45" s="88" t="str">
        <f>IF(J43=1,PROPER(L20),L1)</f>
        <v>Srinani</v>
      </c>
      <c r="K45" s="93" t="str">
        <f>PROPER('ISIAN DATA'!H44)</f>
        <v>Pemalang, 8 Oktober 2005</v>
      </c>
      <c r="L45" s="93" t="str">
        <f>PROPER('ISIAN DATA'!H16)</f>
        <v>Pemalang, 13 Agustus 2002</v>
      </c>
    </row>
    <row r="46" spans="1:12" ht="15.75" customHeight="1">
      <c r="A46" s="114"/>
      <c r="B46" s="91"/>
      <c r="C46" s="94" t="s">
        <v>251</v>
      </c>
      <c r="D46" s="94" t="s">
        <v>25</v>
      </c>
      <c r="E46" s="91" t="e">
        <f t="shared" ca="1" si="3"/>
        <v>#NAME?</v>
      </c>
      <c r="F46" s="114"/>
      <c r="K46" s="93" t="str">
        <f>PROPER('ISIAN DATA'!H46)</f>
        <v>Indonesia</v>
      </c>
      <c r="L46" s="93" t="str">
        <f>PROPER('ISIAN DATA'!H18)</f>
        <v>Indonesia</v>
      </c>
    </row>
    <row r="47" spans="1:12" ht="15.75" customHeight="1">
      <c r="A47" s="114"/>
      <c r="B47" s="91"/>
      <c r="C47" s="94" t="s">
        <v>275</v>
      </c>
      <c r="D47" s="94" t="s">
        <v>25</v>
      </c>
      <c r="E47" s="91" t="e">
        <f t="shared" ca="1" si="3"/>
        <v>#NAME?</v>
      </c>
      <c r="F47" s="114"/>
      <c r="K47" s="93" t="s">
        <v>290</v>
      </c>
      <c r="L47" s="93" t="s">
        <v>290</v>
      </c>
    </row>
    <row r="48" spans="1:12" ht="15.75" customHeight="1">
      <c r="A48" s="114"/>
      <c r="B48" s="91"/>
      <c r="C48" s="94" t="s">
        <v>276</v>
      </c>
      <c r="D48" s="94" t="s">
        <v>25</v>
      </c>
      <c r="E48" s="91" t="e">
        <f t="shared" ca="1" si="3"/>
        <v>#NAME?</v>
      </c>
      <c r="F48" s="114"/>
      <c r="K48" s="93" t="str">
        <f>PROPER('ISIAN DATA'!H45)</f>
        <v>Pelajar Mahasiswa</v>
      </c>
      <c r="L48" s="93" t="str">
        <f>PROPER('ISIAN DATA'!H17)</f>
        <v>Wiraswasta</v>
      </c>
    </row>
    <row r="49" spans="1:12" ht="15.75" customHeight="1">
      <c r="A49" s="114"/>
      <c r="B49" s="91"/>
      <c r="C49" s="94" t="s">
        <v>277</v>
      </c>
      <c r="D49" s="94" t="s">
        <v>25</v>
      </c>
      <c r="E49" s="91" t="e">
        <f t="shared" ca="1" si="3"/>
        <v>#NAME?</v>
      </c>
      <c r="F49" s="114"/>
      <c r="K49" s="93" t="str">
        <f>PROPER('ISIAN DATA'!H48)</f>
        <v>Dsn Simadu Rt 003 Rw 008 Desa Badak</v>
      </c>
      <c r="L49" s="93" t="str">
        <f>PROPER('ISIAN DATA'!H20)</f>
        <v>Dk. Tambi Rt 002 Rw 001 Tambi</v>
      </c>
    </row>
    <row r="50" spans="1:12" ht="15.75" customHeight="1">
      <c r="A50" s="114"/>
      <c r="B50" s="91"/>
      <c r="C50" s="91"/>
      <c r="D50" s="91"/>
      <c r="E50" s="91" t="e">
        <f t="shared" ca="1" si="3"/>
        <v>#NAME?</v>
      </c>
      <c r="F50" s="114"/>
      <c r="K50" s="93" t="str">
        <f>PROPER('ISIAN DATA'!H49)</f>
        <v>Kecamatan Belik Kabupaten Pemalang</v>
      </c>
      <c r="L50" s="93" t="str">
        <f>PROPER('ISIAN DATA'!H21)</f>
        <v>Kec. Watukumpul Kab. Pemalang</v>
      </c>
    </row>
    <row r="51" spans="1:12" ht="45" customHeight="1">
      <c r="A51" s="114"/>
      <c r="B51" s="298" t="s">
        <v>288</v>
      </c>
      <c r="C51" s="298"/>
      <c r="D51" s="298"/>
      <c r="E51" s="298"/>
      <c r="F51" s="114"/>
    </row>
    <row r="52" spans="1:12" ht="3.75" customHeight="1">
      <c r="A52" s="114"/>
      <c r="B52" s="91"/>
      <c r="C52" s="91"/>
      <c r="D52" s="91"/>
      <c r="E52" s="91"/>
      <c r="F52" s="114"/>
      <c r="K52" s="91"/>
      <c r="L52" s="91"/>
    </row>
    <row r="53" spans="1:12" ht="15" customHeight="1">
      <c r="A53" s="114"/>
      <c r="B53" s="91"/>
      <c r="C53" s="91"/>
      <c r="D53" s="91"/>
      <c r="E53" s="97" t="str">
        <f>'ISIAN DATA'!H8</f>
        <v>Tambi, 08 Oktober 2026</v>
      </c>
      <c r="F53" s="114"/>
      <c r="K53" s="97"/>
      <c r="L53" s="97"/>
    </row>
    <row r="54" spans="1:12" ht="18" customHeight="1">
      <c r="A54" s="114"/>
      <c r="B54" s="91"/>
      <c r="C54" s="98" t="e">
        <f ca="1">IF($G$2=1,I33,I44)</f>
        <v>#NAME?</v>
      </c>
      <c r="D54" s="98"/>
      <c r="E54" s="97" t="e">
        <f ca="1">IF($G$2=1,J33,J44)</f>
        <v>#NAME?</v>
      </c>
      <c r="F54" s="114"/>
      <c r="K54" s="97"/>
      <c r="L54" s="97"/>
    </row>
    <row r="55" spans="1:12">
      <c r="A55" s="114"/>
      <c r="B55" s="91"/>
      <c r="C55" s="98"/>
      <c r="D55" s="98"/>
      <c r="E55" s="97"/>
      <c r="F55" s="114"/>
      <c r="K55" s="97"/>
      <c r="L55" s="97"/>
    </row>
    <row r="56" spans="1:12">
      <c r="A56" s="114"/>
      <c r="B56" s="91"/>
      <c r="C56" s="98"/>
      <c r="D56" s="98"/>
      <c r="E56" s="97"/>
      <c r="F56" s="114"/>
      <c r="K56" s="97"/>
      <c r="L56" s="97"/>
    </row>
    <row r="57" spans="1:12">
      <c r="A57" s="114"/>
      <c r="B57" s="91"/>
      <c r="C57" s="98"/>
      <c r="D57" s="98"/>
      <c r="E57" s="97"/>
      <c r="F57" s="114"/>
      <c r="K57" s="97"/>
      <c r="L57" s="97"/>
    </row>
    <row r="58" spans="1:12" ht="15">
      <c r="A58" s="114"/>
      <c r="B58" s="91"/>
      <c r="C58" s="99" t="e">
        <f ca="1">IF($G$2=1,I34,I45)</f>
        <v>#NAME?</v>
      </c>
      <c r="D58" s="99"/>
      <c r="E58" s="100" t="e">
        <f ca="1">IF($G$2=1,J34,J45)</f>
        <v>#NAME?</v>
      </c>
      <c r="F58" s="114"/>
      <c r="K58" s="100"/>
      <c r="L58" s="100"/>
    </row>
    <row r="59" spans="1:12" ht="7.5" customHeight="1">
      <c r="A59" s="114"/>
      <c r="B59" s="91"/>
      <c r="C59" s="91"/>
      <c r="D59" s="91"/>
      <c r="E59" s="91"/>
      <c r="F59" s="114"/>
      <c r="K59" s="91"/>
      <c r="L59" s="91"/>
    </row>
    <row r="60" spans="1:12">
      <c r="A60" s="114"/>
      <c r="B60" s="114"/>
      <c r="C60" s="114"/>
      <c r="D60" s="114"/>
      <c r="E60" s="114"/>
      <c r="F60" s="114"/>
    </row>
  </sheetData>
  <sheetProtection algorithmName="SHA-512" hashValue="hN1Retj8chEHQI9BuZf4O6eFwLAjdJz4etOEO32GTcxxp6GG2MH23968EY8SQilS6DXpNCk10rdd1Eaujtxd5Q==" saltValue="nzWPiPTssUrSP8maR7FB5Q==" spinCount="100000" sheet="1" objects="1" scenarios="1"/>
  <mergeCells count="6">
    <mergeCell ref="B2:C2"/>
    <mergeCell ref="B5:E5"/>
    <mergeCell ref="B4:E4"/>
    <mergeCell ref="B6:E6"/>
    <mergeCell ref="B51:E51"/>
    <mergeCell ref="C41:E41"/>
  </mergeCells>
  <phoneticPr fontId="24" type="noConversion"/>
  <conditionalFormatting sqref="E2">
    <cfRule type="containsText" dxfId="0" priority="1" operator="containsText" text="NIHIL">
      <formula>NOT(ISERROR(SEARCH("NIHIL",E2)))</formula>
    </cfRule>
  </conditionalFormatting>
  <dataValidations count="1">
    <dataValidation type="list" allowBlank="1" showInputMessage="1" showErrorMessage="1" sqref="E2">
      <formula1>$K$5:$K$6</formula1>
    </dataValidation>
  </dataValidations>
  <hyperlinks>
    <hyperlink ref="E1" location="'ISIAN DATA'!Print_Area" display="&lt;&lt; Menu Utama"/>
  </hyperlinks>
  <pageMargins left="0.70866141732283472" right="0.52" top="0.53" bottom="0.43" header="0.46" footer="0.31496062992125984"/>
  <pageSetup paperSize="10000" orientation="portrait" horizontalDpi="4294967293" verticalDpi="4294967293" r:id="rId1"/>
  <ignoredErrors>
    <ignoredError sqref="G2" unlocked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FC63"/>
  <sheetViews>
    <sheetView topLeftCell="A37" zoomScale="110" zoomScaleNormal="110" workbookViewId="0">
      <selection activeCell="D17" sqref="D17"/>
    </sheetView>
  </sheetViews>
  <sheetFormatPr defaultColWidth="0" defaultRowHeight="15" zeroHeight="1"/>
  <cols>
    <col min="1" max="1" width="2.28515625" style="131" customWidth="1"/>
    <col min="2" max="2" width="3.42578125" style="131" customWidth="1"/>
    <col min="3" max="5" width="29.85546875" style="131" customWidth="1"/>
    <col min="6" max="6" width="2.28515625" style="131" customWidth="1"/>
    <col min="7" max="7" width="9.140625" hidden="1" customWidth="1"/>
    <col min="8" max="16" width="9.140625" style="131" hidden="1" customWidth="1"/>
    <col min="17" max="17" width="26.28515625" style="131" hidden="1" customWidth="1"/>
    <col min="18" max="16383" width="9.140625" style="131" hidden="1"/>
    <col min="16384" max="16384" width="0.42578125" style="131" customWidth="1"/>
  </cols>
  <sheetData>
    <row r="1" spans="1:6" s="131" customFormat="1" ht="15.75" thickBot="1">
      <c r="A1" s="171"/>
      <c r="B1" s="130"/>
      <c r="C1" s="130"/>
      <c r="D1" s="130"/>
      <c r="E1" s="206" t="s">
        <v>412</v>
      </c>
      <c r="F1" s="171"/>
    </row>
    <row r="2" spans="1:6" s="131" customFormat="1" ht="7.5" customHeight="1">
      <c r="A2" s="171"/>
      <c r="F2" s="171"/>
    </row>
    <row r="3" spans="1:6" s="131" customFormat="1" ht="68.25" customHeight="1">
      <c r="A3" s="171"/>
      <c r="B3" s="299"/>
      <c r="C3" s="299"/>
      <c r="D3" s="299"/>
      <c r="E3" s="299"/>
      <c r="F3" s="171"/>
    </row>
    <row r="4" spans="1:6" s="131" customFormat="1" ht="6" customHeight="1">
      <c r="A4" s="171"/>
      <c r="F4" s="171"/>
    </row>
    <row r="5" spans="1:6" s="131" customFormat="1" ht="14.25" customHeight="1">
      <c r="A5" s="171"/>
      <c r="B5" s="301" t="s">
        <v>0</v>
      </c>
      <c r="C5" s="301"/>
      <c r="D5" s="301"/>
      <c r="E5" s="301"/>
      <c r="F5" s="171"/>
    </row>
    <row r="6" spans="1:6" s="131" customFormat="1" ht="14.25" customHeight="1">
      <c r="A6" s="171"/>
      <c r="B6" s="301" t="s">
        <v>1</v>
      </c>
      <c r="C6" s="301"/>
      <c r="D6" s="301"/>
      <c r="E6" s="301"/>
      <c r="F6" s="171"/>
    </row>
    <row r="7" spans="1:6" s="131" customFormat="1" ht="14.25" customHeight="1">
      <c r="A7" s="171"/>
      <c r="B7" s="301" t="str">
        <f>"DESA "&amp;'ISIAN DATA'!H3</f>
        <v>DESA TAMBI</v>
      </c>
      <c r="C7" s="301"/>
      <c r="D7" s="301"/>
      <c r="E7" s="301"/>
      <c r="F7" s="171"/>
    </row>
    <row r="8" spans="1:6" s="131" customFormat="1" ht="9" customHeight="1">
      <c r="A8" s="171"/>
      <c r="F8" s="171"/>
    </row>
    <row r="9" spans="1:6" s="131" customFormat="1" ht="16.5" customHeight="1">
      <c r="A9" s="171"/>
      <c r="B9" s="302" t="s">
        <v>104</v>
      </c>
      <c r="C9" s="302"/>
      <c r="D9" s="302"/>
      <c r="E9" s="302"/>
      <c r="F9" s="171"/>
    </row>
    <row r="10" spans="1:6" s="131" customFormat="1" ht="15" customHeight="1">
      <c r="A10" s="171"/>
      <c r="B10" s="303" t="str">
        <f>"Nomor : "&amp;'ISIAN DATA'!H7</f>
        <v>Nomor : 400.12.3.2/19/X/2026</v>
      </c>
      <c r="C10" s="303"/>
      <c r="D10" s="303"/>
      <c r="E10" s="303"/>
      <c r="F10" s="171"/>
    </row>
    <row r="11" spans="1:6" s="131" customFormat="1" ht="5.25" customHeight="1">
      <c r="A11" s="171"/>
      <c r="B11" s="88"/>
      <c r="C11" s="88"/>
      <c r="D11" s="88"/>
      <c r="E11" s="88"/>
      <c r="F11" s="171"/>
    </row>
    <row r="12" spans="1:6" s="131" customFormat="1">
      <c r="A12" s="171"/>
      <c r="B12" s="133" t="s">
        <v>306</v>
      </c>
      <c r="C12" s="133"/>
      <c r="D12" s="133"/>
      <c r="E12" s="133"/>
      <c r="F12" s="171"/>
    </row>
    <row r="13" spans="1:6" s="131" customFormat="1" ht="5.25" customHeight="1">
      <c r="A13" s="171"/>
      <c r="B13" s="133"/>
      <c r="C13" s="133"/>
      <c r="D13" s="133"/>
      <c r="E13" s="133"/>
      <c r="F13" s="171"/>
    </row>
    <row r="14" spans="1:6" s="131" customFormat="1" ht="15.75" customHeight="1">
      <c r="A14" s="171"/>
      <c r="B14" s="134" t="s">
        <v>4</v>
      </c>
      <c r="C14" s="135" t="s">
        <v>105</v>
      </c>
      <c r="D14" s="136" t="str">
        <f>'ISIAN DATA'!H14</f>
        <v>AOFA ARDIAN FADILLAH AZIZ</v>
      </c>
      <c r="E14" s="133"/>
      <c r="F14" s="171"/>
    </row>
    <row r="15" spans="1:6" s="131" customFormat="1" ht="15.75" customHeight="1">
      <c r="A15" s="171"/>
      <c r="B15" s="133"/>
      <c r="C15" s="135" t="s">
        <v>63</v>
      </c>
      <c r="D15" s="133" t="str">
        <f>'ISIAN DATA'!J23</f>
        <v>Tohirin</v>
      </c>
      <c r="E15" s="133" t="str">
        <f>"NIK        : "&amp;'ISIAN DATA'!H15</f>
        <v>NIK        : 3327041308020004</v>
      </c>
      <c r="F15" s="171"/>
    </row>
    <row r="16" spans="1:6" s="131" customFormat="1" ht="15.75" customHeight="1">
      <c r="A16" s="171"/>
      <c r="B16" s="133"/>
      <c r="C16" s="135" t="s">
        <v>102</v>
      </c>
      <c r="D16" s="133" t="str">
        <f>PROPER('ISIAN DATA'!H16)</f>
        <v>Pemalang, 13 Agustus 2002</v>
      </c>
      <c r="E16" s="133"/>
      <c r="F16" s="171"/>
    </row>
    <row r="17" spans="1:6" s="131" customFormat="1" ht="15.75" customHeight="1">
      <c r="A17" s="171"/>
      <c r="B17" s="133"/>
      <c r="C17" s="135" t="s">
        <v>10</v>
      </c>
      <c r="D17" s="133" t="str">
        <f>PROPER('ISIAN DATA'!H18)</f>
        <v>Indonesia</v>
      </c>
      <c r="E17" s="133" t="s">
        <v>308</v>
      </c>
      <c r="F17" s="171"/>
    </row>
    <row r="18" spans="1:6" s="131" customFormat="1" ht="15.75" customHeight="1">
      <c r="A18" s="171"/>
      <c r="B18" s="133"/>
      <c r="C18" s="135" t="s">
        <v>13</v>
      </c>
      <c r="D18" s="133" t="str">
        <f>PROPER(('ISIAN DATA'!H20))</f>
        <v>Dk. Tambi Rt 002 Rw 001 Tambi</v>
      </c>
      <c r="E18" s="133"/>
      <c r="F18" s="171"/>
    </row>
    <row r="19" spans="1:6" s="131" customFormat="1" ht="15.75" customHeight="1">
      <c r="A19" s="171"/>
      <c r="B19" s="133"/>
      <c r="C19" s="133"/>
      <c r="D19" s="133" t="str">
        <f>PROPER('ISIAN DATA'!H21)</f>
        <v>Kec. Watukumpul Kab. Pemalang</v>
      </c>
      <c r="E19" s="133"/>
      <c r="F19" s="171"/>
    </row>
    <row r="20" spans="1:6" s="131" customFormat="1" ht="3" customHeight="1">
      <c r="A20" s="171"/>
      <c r="B20" s="133"/>
      <c r="C20" s="133"/>
      <c r="D20" s="133"/>
      <c r="E20" s="133"/>
      <c r="F20" s="171"/>
    </row>
    <row r="21" spans="1:6" s="131" customFormat="1" ht="15.75" customHeight="1">
      <c r="A21" s="171"/>
      <c r="B21" s="134" t="s">
        <v>6</v>
      </c>
      <c r="C21" s="135" t="s">
        <v>107</v>
      </c>
      <c r="D21" s="136" t="str">
        <f>'ISIAN DATA'!H42</f>
        <v>FIKA INTAN ELMASARI</v>
      </c>
      <c r="E21" s="133"/>
      <c r="F21" s="171"/>
    </row>
    <row r="22" spans="1:6" s="131" customFormat="1" ht="15.75" customHeight="1">
      <c r="A22" s="171"/>
      <c r="B22" s="133"/>
      <c r="C22" s="135" t="s">
        <v>66</v>
      </c>
      <c r="D22" s="133" t="str">
        <f>'ISIAN DATA'!J51</f>
        <v>Samiun</v>
      </c>
      <c r="E22" s="133" t="str">
        <f>"NIK        : "&amp;'ISIAN DATA'!H43</f>
        <v>NIK        : 3327034810050002</v>
      </c>
      <c r="F22" s="171"/>
    </row>
    <row r="23" spans="1:6" s="131" customFormat="1" ht="15.75" customHeight="1">
      <c r="A23" s="171"/>
      <c r="B23" s="133"/>
      <c r="C23" s="135" t="s">
        <v>102</v>
      </c>
      <c r="D23" s="133" t="str">
        <f>PROPER('ISIAN DATA'!H44)</f>
        <v>Pemalang, 8 Oktober 2005</v>
      </c>
      <c r="E23" s="133"/>
      <c r="F23" s="171"/>
    </row>
    <row r="24" spans="1:6" s="131" customFormat="1" ht="15.75" customHeight="1">
      <c r="A24" s="171"/>
      <c r="B24" s="133"/>
      <c r="C24" s="135" t="s">
        <v>10</v>
      </c>
      <c r="D24" s="133" t="str">
        <f>PROPER('ISIAN DATA'!H46)</f>
        <v>Indonesia</v>
      </c>
      <c r="E24" s="133" t="s">
        <v>308</v>
      </c>
      <c r="F24" s="171"/>
    </row>
    <row r="25" spans="1:6" s="131" customFormat="1" ht="15.75" customHeight="1">
      <c r="A25" s="171"/>
      <c r="B25" s="133"/>
      <c r="C25" s="135" t="s">
        <v>13</v>
      </c>
      <c r="D25" s="133" t="str">
        <f>PROPER('ISIAN DATA'!H48)</f>
        <v>Dsn Simadu Rt 003 Rw 008 Desa Badak</v>
      </c>
      <c r="E25" s="133"/>
      <c r="F25" s="171"/>
    </row>
    <row r="26" spans="1:6" s="131" customFormat="1" ht="15.75" customHeight="1">
      <c r="A26" s="171"/>
      <c r="B26" s="133"/>
      <c r="C26" s="133"/>
      <c r="D26" s="133" t="str">
        <f>PROPER('ISIAN DATA'!H49)</f>
        <v>Kecamatan Belik Kabupaten Pemalang</v>
      </c>
      <c r="E26" s="133"/>
      <c r="F26" s="171"/>
    </row>
    <row r="27" spans="1:6" s="131" customFormat="1" ht="5.25" customHeight="1">
      <c r="A27" s="171"/>
      <c r="B27" s="133"/>
      <c r="C27" s="133"/>
      <c r="D27" s="133"/>
      <c r="E27" s="133"/>
      <c r="F27" s="171"/>
    </row>
    <row r="28" spans="1:6" s="131" customFormat="1">
      <c r="A28" s="171"/>
      <c r="B28" s="133" t="str">
        <f>"akan melaksanakan akad nikah pada hari "&amp;'ISIAN DATA'!H10&amp;" dengan menggunakan "&amp;'ISIAN DATA'!H70</f>
        <v>akan melaksanakan akad nikah pada hari Kamis, 19 November 2026 dengan menggunakan WALI NASAB</v>
      </c>
      <c r="C28" s="133"/>
      <c r="D28" s="133"/>
      <c r="E28" s="133"/>
      <c r="F28" s="171"/>
    </row>
    <row r="29" spans="1:6" s="131" customFormat="1" ht="5.25" customHeight="1">
      <c r="A29" s="171"/>
      <c r="B29" s="133" t="s">
        <v>97</v>
      </c>
      <c r="C29" s="133"/>
      <c r="D29" s="133"/>
      <c r="E29" s="133"/>
      <c r="F29" s="171"/>
    </row>
    <row r="30" spans="1:6" s="131" customFormat="1" ht="15.75" customHeight="1">
      <c r="A30" s="171"/>
      <c r="B30" s="136" t="s">
        <v>61</v>
      </c>
      <c r="C30" s="136" t="s">
        <v>226</v>
      </c>
      <c r="D30" s="133"/>
      <c r="E30" s="133"/>
      <c r="F30" s="171"/>
    </row>
    <row r="31" spans="1:6" s="131" customFormat="1" ht="15.75" customHeight="1">
      <c r="A31" s="171"/>
      <c r="B31" s="133"/>
      <c r="C31" s="135" t="s">
        <v>86</v>
      </c>
      <c r="D31" s="136" t="str">
        <f>'ISIAN DATA'!H75</f>
        <v>SAMIUN</v>
      </c>
      <c r="E31" s="133"/>
      <c r="F31" s="171"/>
    </row>
    <row r="32" spans="1:6" s="131" customFormat="1" ht="15.75" customHeight="1">
      <c r="A32" s="171"/>
      <c r="B32" s="133"/>
      <c r="C32" s="135" t="s">
        <v>101</v>
      </c>
      <c r="D32" s="133" t="str">
        <f>PROPER('ISIAN DATA'!H76)</f>
        <v>Wasnuri</v>
      </c>
      <c r="E32" s="133"/>
      <c r="F32" s="171"/>
    </row>
    <row r="33" spans="1:6" s="131" customFormat="1" ht="15.75" customHeight="1">
      <c r="A33" s="171"/>
      <c r="B33" s="133"/>
      <c r="C33" s="135" t="s">
        <v>90</v>
      </c>
      <c r="D33" s="133" t="str">
        <f>PROPER('ISIAN DATA'!H77)</f>
        <v>3327031103810011</v>
      </c>
      <c r="E33" s="133"/>
      <c r="F33" s="171"/>
    </row>
    <row r="34" spans="1:6" s="131" customFormat="1" ht="15.75" customHeight="1">
      <c r="A34" s="171"/>
      <c r="B34" s="133"/>
      <c r="C34" s="135" t="s">
        <v>102</v>
      </c>
      <c r="D34" s="133" t="str">
        <f>PROPER('ISIAN DATA'!H78)</f>
        <v>Pemalang, 11 Maret 1981</v>
      </c>
      <c r="E34" s="133"/>
      <c r="F34" s="171"/>
    </row>
    <row r="35" spans="1:6" s="131" customFormat="1" ht="15.75" customHeight="1">
      <c r="A35" s="171"/>
      <c r="B35" s="133"/>
      <c r="C35" s="135" t="s">
        <v>106</v>
      </c>
      <c r="D35" s="133" t="str">
        <f>PROPER('ISIAN DATA'!H79)</f>
        <v>Indonesia</v>
      </c>
      <c r="E35" s="133"/>
      <c r="F35" s="171"/>
    </row>
    <row r="36" spans="1:6" s="131" customFormat="1" ht="15.75" customHeight="1">
      <c r="A36" s="171"/>
      <c r="B36" s="133"/>
      <c r="C36" s="135" t="s">
        <v>12</v>
      </c>
      <c r="D36" s="133" t="str">
        <f>PROPER('ISIAN DATA'!H81)</f>
        <v>Petani</v>
      </c>
      <c r="E36" s="133"/>
      <c r="F36" s="171"/>
    </row>
    <row r="37" spans="1:6" s="131" customFormat="1" ht="15.75" customHeight="1">
      <c r="A37" s="171"/>
      <c r="B37" s="133"/>
      <c r="C37" s="135" t="s">
        <v>13</v>
      </c>
      <c r="D37" s="133" t="str">
        <f>PROPER('ISIAN DATA'!H82)</f>
        <v>Dsn Simadu Rt 003 Rw 008 Desa Badak</v>
      </c>
      <c r="E37" s="133"/>
      <c r="F37" s="171"/>
    </row>
    <row r="38" spans="1:6" s="131" customFormat="1" ht="15.75" customHeight="1">
      <c r="A38" s="171"/>
      <c r="B38" s="133"/>
      <c r="C38" s="133"/>
      <c r="D38" s="133" t="str">
        <f>PROPER('ISIAN DATA'!H83)</f>
        <v>Kecamatan Belik Kabupaten Pemalang</v>
      </c>
      <c r="E38" s="133"/>
      <c r="F38" s="171"/>
    </row>
    <row r="39" spans="1:6" s="131" customFormat="1" ht="15.75" customHeight="1">
      <c r="A39" s="171"/>
      <c r="B39" s="133"/>
      <c r="C39" s="133" t="s">
        <v>108</v>
      </c>
      <c r="D39" s="136" t="str">
        <f>'ISIAN DATA'!H71</f>
        <v>AYAH KANDUNG</v>
      </c>
      <c r="E39" s="133"/>
      <c r="F39" s="171"/>
    </row>
    <row r="40" spans="1:6" s="131" customFormat="1" ht="5.25" customHeight="1">
      <c r="A40" s="171"/>
      <c r="B40" s="133"/>
      <c r="C40" s="133"/>
      <c r="D40" s="133"/>
      <c r="E40" s="133"/>
      <c r="F40" s="171"/>
    </row>
    <row r="41" spans="1:6" s="131" customFormat="1" ht="13.5" customHeight="1">
      <c r="A41" s="171"/>
      <c r="B41" s="133"/>
      <c r="C41" s="132" t="s">
        <v>109</v>
      </c>
      <c r="D41" s="132" t="s">
        <v>110</v>
      </c>
      <c r="E41" s="132" t="s">
        <v>111</v>
      </c>
      <c r="F41" s="171"/>
    </row>
    <row r="42" spans="1:6" s="131" customFormat="1" ht="13.5" customHeight="1">
      <c r="A42" s="171"/>
      <c r="B42" s="133"/>
      <c r="C42" s="132" t="s">
        <v>112</v>
      </c>
      <c r="D42" s="132" t="s">
        <v>113</v>
      </c>
      <c r="E42" s="132" t="s">
        <v>114</v>
      </c>
      <c r="F42" s="171"/>
    </row>
    <row r="43" spans="1:6" s="131" customFormat="1" ht="13.5" customHeight="1">
      <c r="A43" s="171"/>
      <c r="B43" s="133"/>
      <c r="C43" s="132" t="s">
        <v>115</v>
      </c>
      <c r="D43" s="132" t="s">
        <v>116</v>
      </c>
      <c r="E43" s="132" t="s">
        <v>117</v>
      </c>
      <c r="F43" s="171"/>
    </row>
    <row r="44" spans="1:6" s="131" customFormat="1" ht="13.5" customHeight="1">
      <c r="A44" s="171"/>
      <c r="B44" s="133"/>
      <c r="C44" s="132" t="s">
        <v>103</v>
      </c>
      <c r="D44" s="132" t="s">
        <v>118</v>
      </c>
      <c r="E44" s="132" t="s">
        <v>119</v>
      </c>
      <c r="F44" s="171"/>
    </row>
    <row r="45" spans="1:6" s="131" customFormat="1" ht="13.5" customHeight="1">
      <c r="A45" s="171"/>
      <c r="B45" s="133"/>
      <c r="C45" s="132" t="s">
        <v>120</v>
      </c>
      <c r="D45" s="132" t="s">
        <v>121</v>
      </c>
      <c r="E45" s="132" t="s">
        <v>122</v>
      </c>
      <c r="F45" s="171"/>
    </row>
    <row r="46" spans="1:6" s="131" customFormat="1" ht="13.5" customHeight="1">
      <c r="A46" s="171"/>
      <c r="B46" s="133"/>
      <c r="C46" s="132" t="s">
        <v>123</v>
      </c>
      <c r="D46" s="132" t="s">
        <v>124</v>
      </c>
      <c r="E46" s="132" t="s">
        <v>125</v>
      </c>
      <c r="F46" s="171"/>
    </row>
    <row r="47" spans="1:6" s="131" customFormat="1" ht="13.5" customHeight="1">
      <c r="A47" s="171"/>
      <c r="B47" s="133"/>
      <c r="C47" s="132" t="s">
        <v>126</v>
      </c>
      <c r="D47" s="132" t="s">
        <v>127</v>
      </c>
      <c r="E47" s="132" t="s">
        <v>128</v>
      </c>
      <c r="F47" s="171"/>
    </row>
    <row r="48" spans="1:6" s="131" customFormat="1">
      <c r="A48" s="171"/>
      <c r="B48" s="133"/>
      <c r="C48" s="133"/>
      <c r="D48" s="133"/>
      <c r="E48" s="133"/>
      <c r="F48" s="171"/>
    </row>
    <row r="49" spans="1:7" ht="15.75" customHeight="1">
      <c r="A49" s="171"/>
      <c r="B49" s="136" t="s">
        <v>64</v>
      </c>
      <c r="C49" s="136" t="s">
        <v>225</v>
      </c>
      <c r="D49" s="133"/>
      <c r="E49" s="133"/>
      <c r="F49" s="171"/>
      <c r="G49" s="131"/>
    </row>
    <row r="50" spans="1:7" ht="15.75" customHeight="1">
      <c r="A50" s="171"/>
      <c r="B50" s="133"/>
      <c r="C50" s="135" t="s">
        <v>307</v>
      </c>
      <c r="D50" s="136" t="str">
        <f>'ISIAN DATA'!H72</f>
        <v>-</v>
      </c>
      <c r="E50" s="133"/>
      <c r="F50" s="171"/>
      <c r="G50" s="131"/>
    </row>
    <row r="51" spans="1:7" ht="10.5" customHeight="1">
      <c r="A51" s="171"/>
      <c r="B51" s="133"/>
      <c r="C51" s="135"/>
      <c r="D51" s="133"/>
      <c r="E51" s="133"/>
      <c r="F51" s="171"/>
      <c r="G51" s="131"/>
    </row>
    <row r="52" spans="1:7" ht="15.75" customHeight="1">
      <c r="A52" s="171"/>
      <c r="B52" s="300" t="s">
        <v>309</v>
      </c>
      <c r="C52" s="300"/>
      <c r="D52" s="300"/>
      <c r="E52" s="300"/>
      <c r="F52" s="171"/>
      <c r="G52" s="131"/>
    </row>
    <row r="53" spans="1:7" ht="15.75" customHeight="1">
      <c r="A53" s="171"/>
      <c r="B53" s="300"/>
      <c r="C53" s="300"/>
      <c r="D53" s="300"/>
      <c r="E53" s="300"/>
      <c r="F53" s="171"/>
      <c r="G53" s="131"/>
    </row>
    <row r="54" spans="1:7" ht="9" customHeight="1">
      <c r="A54" s="171"/>
      <c r="B54" s="133"/>
      <c r="C54" s="133"/>
      <c r="D54" s="133"/>
      <c r="E54" s="133"/>
      <c r="F54" s="171"/>
      <c r="G54" s="131"/>
    </row>
    <row r="55" spans="1:7">
      <c r="A55" s="171"/>
      <c r="B55" s="133" t="s">
        <v>97</v>
      </c>
      <c r="C55" s="133"/>
      <c r="D55" s="137" t="str">
        <f>'ISIAN DATA'!H8</f>
        <v>Tambi, 08 Oktober 2026</v>
      </c>
      <c r="E55" s="133"/>
      <c r="F55" s="171"/>
      <c r="G55" s="131"/>
    </row>
    <row r="56" spans="1:7">
      <c r="A56" s="171"/>
      <c r="B56" s="133"/>
      <c r="C56" s="133"/>
      <c r="D56" s="137" t="s">
        <v>23</v>
      </c>
      <c r="E56" s="133"/>
      <c r="F56" s="171"/>
      <c r="G56" s="131"/>
    </row>
    <row r="57" spans="1:7">
      <c r="A57" s="171"/>
      <c r="B57" s="133"/>
      <c r="C57" s="133"/>
      <c r="D57" s="137"/>
      <c r="E57" s="133"/>
      <c r="F57" s="171"/>
      <c r="G57" s="131"/>
    </row>
    <row r="58" spans="1:7">
      <c r="A58" s="171"/>
      <c r="B58" s="133"/>
      <c r="C58" s="133"/>
      <c r="D58" s="137"/>
      <c r="E58" s="133"/>
      <c r="F58" s="171"/>
      <c r="G58" s="131"/>
    </row>
    <row r="59" spans="1:7">
      <c r="A59" s="171"/>
      <c r="B59" s="133"/>
      <c r="C59" s="133"/>
      <c r="D59" s="137"/>
      <c r="E59" s="133"/>
      <c r="F59" s="171"/>
      <c r="G59" s="131"/>
    </row>
    <row r="60" spans="1:7">
      <c r="A60" s="171"/>
      <c r="B60" s="133"/>
      <c r="C60" s="133"/>
      <c r="D60" s="138" t="str">
        <f>'ISIAN DATA'!H5</f>
        <v>J U R I</v>
      </c>
      <c r="E60" s="133"/>
      <c r="F60" s="171"/>
      <c r="G60" s="131"/>
    </row>
    <row r="61" spans="1:7">
      <c r="A61" s="171"/>
      <c r="F61" s="171"/>
      <c r="G61" s="131"/>
    </row>
    <row r="62" spans="1:7" ht="5.25" customHeight="1">
      <c r="A62" s="171"/>
      <c r="B62" s="130"/>
      <c r="C62" s="130"/>
      <c r="D62" s="130"/>
      <c r="E62" s="130"/>
      <c r="F62" s="171"/>
      <c r="G62" s="131"/>
    </row>
    <row r="63" spans="1:7"/>
  </sheetData>
  <sheetProtection algorithmName="SHA-512" hashValue="PyCk/w1oZ54phb6XBPI/RNF/GlHGo8/xiBEEKEV7WkJwN4Si2GZzVXmiSSonfFnFrWkoYfErRqkMjxnxJpEQGg==" saltValue="PTgDB4eYmeEZM0sM9wrU2g==" spinCount="100000" sheet="1" objects="1" scenarios="1"/>
  <mergeCells count="7">
    <mergeCell ref="B3:E3"/>
    <mergeCell ref="B52:E53"/>
    <mergeCell ref="B5:E5"/>
    <mergeCell ref="B6:E6"/>
    <mergeCell ref="B7:E7"/>
    <mergeCell ref="B9:E9"/>
    <mergeCell ref="B10:E10"/>
  </mergeCells>
  <hyperlinks>
    <hyperlink ref="E1" location="'ISIAN DATA'!Print_Area" display="&lt;&lt; Menu Utama"/>
  </hyperlinks>
  <pageMargins left="0.49" right="0.46" top="0.3" bottom="0.32" header="0.13" footer="0.17"/>
  <pageSetup paperSize="10000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Z55"/>
  <sheetViews>
    <sheetView topLeftCell="A19" zoomScale="110" zoomScaleNormal="110" workbookViewId="0">
      <selection activeCell="C2" sqref="C2"/>
    </sheetView>
  </sheetViews>
  <sheetFormatPr defaultColWidth="0" defaultRowHeight="14.25" zeroHeight="1"/>
  <cols>
    <col min="1" max="1" width="4.140625" style="175" customWidth="1"/>
    <col min="2" max="2" width="29" style="175" customWidth="1"/>
    <col min="3" max="3" width="60.85546875" style="175" customWidth="1"/>
    <col min="4" max="4" width="4.140625" style="175" customWidth="1"/>
    <col min="5" max="5" width="5" style="88" hidden="1" customWidth="1"/>
    <col min="6" max="6" width="47.85546875" style="88" hidden="1" customWidth="1"/>
    <col min="7" max="7" width="10.85546875" style="88" hidden="1" customWidth="1"/>
    <col min="8" max="16384" width="9.140625" style="88" hidden="1"/>
  </cols>
  <sheetData>
    <row r="1" spans="2:6" s="88" customFormat="1" ht="6.75" customHeight="1" thickBot="1"/>
    <row r="2" spans="2:6" s="88" customFormat="1" ht="21.75" customHeight="1" thickBot="1">
      <c r="B2" s="147" t="s">
        <v>312</v>
      </c>
      <c r="C2" s="148" t="s">
        <v>334</v>
      </c>
    </row>
    <row r="3" spans="2:6" s="88" customFormat="1" ht="6" customHeight="1"/>
    <row r="4" spans="2:6" s="88" customFormat="1" ht="18" customHeight="1">
      <c r="B4" s="304" t="s">
        <v>304</v>
      </c>
      <c r="C4" s="304"/>
    </row>
    <row r="5" spans="2:6" s="88" customFormat="1">
      <c r="B5" s="305" t="s">
        <v>310</v>
      </c>
      <c r="C5" s="305"/>
    </row>
    <row r="6" spans="2:6" s="88" customFormat="1" ht="20.25" customHeight="1"/>
    <row r="7" spans="2:6" s="88" customFormat="1" ht="15" customHeight="1">
      <c r="B7" s="306" t="s">
        <v>305</v>
      </c>
      <c r="C7" s="306"/>
    </row>
    <row r="8" spans="2:6" s="88" customFormat="1" ht="32.25" customHeight="1">
      <c r="B8" s="284" t="str">
        <f>"         Pada hari ini "&amp;F10&amp;", yang bertanda tangan di bawah ini selaku calon pengantin perempuan menyatakan dengan sebenar-benarnya, bahwa saya: "</f>
        <v xml:space="preserve">         Pada hari ini  Kamis, 8 Oktober 2026, yang bertanda tangan di bawah ini selaku calon pengantin perempuan menyatakan dengan sebenar-benarnya, bahwa saya: </v>
      </c>
      <c r="C8" s="284"/>
      <c r="F8" s="153">
        <f>'ISIAN DATA'!C8</f>
        <v>46303</v>
      </c>
    </row>
    <row r="9" spans="2:6" s="88" customFormat="1" ht="6" customHeight="1">
      <c r="B9" s="4"/>
      <c r="C9" s="4"/>
    </row>
    <row r="10" spans="2:6" s="88" customFormat="1" ht="17.25" customHeight="1">
      <c r="B10" s="139" t="s">
        <v>5</v>
      </c>
      <c r="C10" s="7" t="str">
        <f>'ISIAN DATA'!H42</f>
        <v>FIKA INTAN ELMASARI</v>
      </c>
      <c r="F10" s="88" t="str">
        <f>TEXT(F8," Dddd, d mmmm yyyy")</f>
        <v xml:space="preserve"> Kamis, 8 Oktober 2026</v>
      </c>
    </row>
    <row r="11" spans="2:6" s="88" customFormat="1" ht="17.25" customHeight="1">
      <c r="B11" s="139" t="s">
        <v>66</v>
      </c>
      <c r="C11" s="4" t="str">
        <f>IF(G22=1,"-",PROPER('ISIAN DATA'!H51))</f>
        <v>Samiun</v>
      </c>
    </row>
    <row r="12" spans="2:6" s="88" customFormat="1" ht="17.25" customHeight="1">
      <c r="B12" s="139" t="s">
        <v>90</v>
      </c>
      <c r="C12" s="4" t="str">
        <f>IF(G21=1,"-",PROPER('ISIAN DATA'!H43))</f>
        <v>3327034810050002</v>
      </c>
    </row>
    <row r="13" spans="2:6" s="88" customFormat="1" ht="17.25" customHeight="1">
      <c r="B13" s="139" t="s">
        <v>79</v>
      </c>
      <c r="C13" s="4" t="str">
        <f>IF(G21=1,"-",PROPER('ISIAN DATA'!H44))</f>
        <v>Pemalang, 8 Oktober 2005</v>
      </c>
      <c r="F13" s="88" t="str">
        <f>'ISIAN DATA'!H72</f>
        <v>-</v>
      </c>
    </row>
    <row r="14" spans="2:6" s="88" customFormat="1" ht="17.25" customHeight="1">
      <c r="B14" s="139" t="s">
        <v>10</v>
      </c>
      <c r="C14" s="4" t="str">
        <f>IF(G21=1,"-",SKW!D24&amp;"                               Agama :  Islam")</f>
        <v>Indonesia                               Agama :  Islam</v>
      </c>
      <c r="F14" s="88" t="s">
        <v>314</v>
      </c>
    </row>
    <row r="15" spans="2:6" s="88" customFormat="1" ht="17.25" customHeight="1">
      <c r="B15" s="139" t="s">
        <v>12</v>
      </c>
      <c r="C15" s="4" t="str">
        <f>IF(G21=1,"-",PROPER('ISIAN DATA'!H45))</f>
        <v>Pelajar Mahasiswa</v>
      </c>
      <c r="F15" s="88" t="str">
        <f>IF(F13="HABIS BARIS WALI",(F14&amp;F13),F13)</f>
        <v>-</v>
      </c>
    </row>
    <row r="16" spans="2:6" s="88" customFormat="1" ht="17.25" customHeight="1">
      <c r="B16" s="139" t="s">
        <v>13</v>
      </c>
      <c r="C16" s="4" t="str">
        <f>IF(G21=1,"-",PROPER('ISIAN DATA'!H48))</f>
        <v>Dsn Simadu Rt 003 Rw 008 Desa Badak</v>
      </c>
    </row>
    <row r="17" spans="2:26" s="88" customFormat="1" ht="15" customHeight="1">
      <c r="B17" s="140"/>
      <c r="C17" s="4" t="str">
        <f>IF(G21=1,"-",PROPER('ISIAN DATA'!H49))</f>
        <v>Kecamatan Belik Kabupaten Pemalang</v>
      </c>
    </row>
    <row r="18" spans="2:26" s="88" customFormat="1" ht="6" customHeight="1">
      <c r="B18" s="140"/>
      <c r="C18" s="4"/>
    </row>
    <row r="19" spans="2:26" s="88" customFormat="1" ht="15" customHeight="1">
      <c r="B19" s="4" t="s">
        <v>313</v>
      </c>
      <c r="C19" s="4"/>
      <c r="F19" s="149" t="s">
        <v>237</v>
      </c>
      <c r="G19" s="150">
        <f>IF(F19=F13,1,0)</f>
        <v>0</v>
      </c>
    </row>
    <row r="20" spans="2:26" s="88" customFormat="1" ht="15" customHeight="1" thickBot="1">
      <c r="B20" s="4" t="str">
        <f>IF(G21=1,"-",("    "&amp;C2))</f>
        <v xml:space="preserve">    PAMAN AYAH (SEAYAH)</v>
      </c>
      <c r="C20" s="4"/>
      <c r="F20" s="149" t="s">
        <v>238</v>
      </c>
      <c r="G20" s="150">
        <f>IF(F20=F13,1,0)</f>
        <v>0</v>
      </c>
    </row>
    <row r="21" spans="2:26" s="88" customFormat="1" ht="21" customHeight="1" thickBot="1">
      <c r="B21" s="141" t="s">
        <v>311</v>
      </c>
      <c r="C21" s="4"/>
      <c r="F21" s="151"/>
      <c r="G21" s="152">
        <f>SUM(G19:G20)</f>
        <v>0</v>
      </c>
    </row>
    <row r="22" spans="2:26" s="88" customFormat="1" ht="15" customHeight="1">
      <c r="B22" s="4" t="str">
        <f>IF(G21=1,"-",("    "&amp;F15))</f>
        <v xml:space="preserve">    -</v>
      </c>
      <c r="C22" s="4"/>
    </row>
    <row r="23" spans="2:26" s="88" customFormat="1" ht="51" customHeight="1">
      <c r="B23" s="284" t="str">
        <f>"       "&amp;"Oleh karena itu saya mohon dengan hormat, kepada Kepala KUA Watukumpul Kabupaten Pemalang, untuk bertindak sebagai wali hakim atas pernikahan saya dengan seorang laki-laki bernama "&amp;'ISIAN DATA'!H14&amp;" Bin "&amp;'ISIAN DATA'!H23&amp;" pada:"</f>
        <v xml:space="preserve">       Oleh karena itu saya mohon dengan hormat, kepada Kepala KUA Watukumpul Kabupaten Pemalang, untuk bertindak sebagai wali hakim atas pernikahan saya dengan seorang laki-laki bernama AOFA ARDIAN FADILLAH AZIZ Bin TOHIRIN pada:</v>
      </c>
      <c r="C23" s="284"/>
    </row>
    <row r="24" spans="2:26" s="88" customFormat="1" ht="7.5" customHeight="1">
      <c r="B24" s="4"/>
      <c r="C24" s="4"/>
      <c r="U24" s="88" t="s">
        <v>132</v>
      </c>
    </row>
    <row r="25" spans="2:26" s="88" customFormat="1" ht="15.75" customHeight="1">
      <c r="B25" s="139" t="s">
        <v>96</v>
      </c>
      <c r="C25" s="4" t="str">
        <f>IF(G21=1,"-",PROPER('ISIAN DATA'!H9))</f>
        <v>Kamis, 19 November 2026</v>
      </c>
    </row>
    <row r="26" spans="2:26" s="88" customFormat="1" ht="15.75" customHeight="1">
      <c r="B26" s="139" t="s">
        <v>282</v>
      </c>
      <c r="C26" s="4" t="str">
        <f>IF(G21=1,"-",PROPER('ISIAN DATA'!C10)&amp;" WIB")</f>
        <v>Jam : 08:30 WIB</v>
      </c>
    </row>
    <row r="27" spans="2:26" s="88" customFormat="1" ht="15.75" customHeight="1">
      <c r="B27" s="139" t="s">
        <v>315</v>
      </c>
      <c r="C27" s="4" t="str" cm="1">
        <f t="array" ref="C27:D27">IF(G21=1,"-",PROPER('ISIAN DATA'!C11:D11))</f>
        <v>Dsn Simadu Rt 003 Rw 008 Desa Badak Kecamatan Belik Kabupaten Pemalang</v>
      </c>
      <c r="D27" s="88" t="str">
        <v/>
      </c>
      <c r="U27" s="88" t="s">
        <v>133</v>
      </c>
    </row>
    <row r="28" spans="2:26" s="88" customFormat="1" ht="4.5" customHeight="1">
      <c r="B28" s="4"/>
      <c r="C28" s="4"/>
    </row>
    <row r="29" spans="2:26" s="88" customFormat="1" ht="51.75" customHeight="1">
      <c r="B29" s="284" t="s">
        <v>316</v>
      </c>
      <c r="C29" s="284"/>
    </row>
    <row r="30" spans="2:26" s="88" customFormat="1" ht="16.5" customHeight="1">
      <c r="B30" s="4"/>
      <c r="C30" s="4"/>
    </row>
    <row r="31" spans="2:26" s="88" customFormat="1" ht="19.5" customHeight="1">
      <c r="B31" s="4"/>
      <c r="C31" s="142" t="s">
        <v>319</v>
      </c>
      <c r="Q31" s="305" t="s">
        <v>130</v>
      </c>
      <c r="R31" s="305"/>
      <c r="S31" s="305"/>
      <c r="T31" s="305"/>
      <c r="U31" s="305"/>
      <c r="V31" s="305"/>
      <c r="W31" s="305"/>
      <c r="X31" s="305"/>
      <c r="Y31" s="305"/>
      <c r="Z31" s="305"/>
    </row>
    <row r="32" spans="2:26" s="88" customFormat="1" ht="18.75" customHeight="1">
      <c r="B32" s="4"/>
      <c r="C32" s="142"/>
    </row>
    <row r="33" spans="1:26" ht="18.75" customHeight="1">
      <c r="A33" s="88"/>
      <c r="B33" s="4"/>
      <c r="C33" s="176" t="s">
        <v>374</v>
      </c>
      <c r="D33" s="88"/>
    </row>
    <row r="34" spans="1:26" ht="18.75" customHeight="1">
      <c r="A34" s="88"/>
      <c r="B34" s="4"/>
      <c r="C34" s="142"/>
      <c r="D34" s="88"/>
    </row>
    <row r="35" spans="1:26" ht="16.5" customHeight="1">
      <c r="A35" s="88"/>
      <c r="B35" s="4"/>
      <c r="C35" s="142" t="str">
        <f>C10</f>
        <v>FIKA INTAN ELMASARI</v>
      </c>
      <c r="D35" s="88"/>
    </row>
    <row r="36" spans="1:26">
      <c r="A36" s="88"/>
      <c r="B36" s="4"/>
      <c r="C36" s="4"/>
      <c r="D36" s="88"/>
    </row>
    <row r="37" spans="1:26">
      <c r="A37" s="88"/>
      <c r="B37" s="143" t="s">
        <v>317</v>
      </c>
      <c r="C37" s="144" t="s">
        <v>318</v>
      </c>
      <c r="D37" s="88"/>
    </row>
    <row r="38" spans="1:26">
      <c r="A38" s="88"/>
      <c r="B38" s="143"/>
      <c r="C38" s="144"/>
      <c r="D38" s="88"/>
    </row>
    <row r="39" spans="1:26">
      <c r="A39" s="88"/>
      <c r="B39" s="143"/>
      <c r="C39" s="144"/>
      <c r="D39" s="88"/>
    </row>
    <row r="40" spans="1:26">
      <c r="A40" s="88"/>
      <c r="B40" s="143"/>
      <c r="C40" s="144"/>
      <c r="D40" s="88"/>
    </row>
    <row r="41" spans="1:26">
      <c r="A41" s="88"/>
      <c r="B41" s="145" t="s">
        <v>321</v>
      </c>
      <c r="C41" s="146" t="s">
        <v>322</v>
      </c>
      <c r="D41" s="88"/>
    </row>
    <row r="42" spans="1:26" ht="15" thickBot="1">
      <c r="A42" s="88"/>
      <c r="B42" s="88"/>
      <c r="C42" s="88"/>
      <c r="D42" s="88"/>
      <c r="Q42" s="305" t="s">
        <v>131</v>
      </c>
      <c r="R42" s="305"/>
      <c r="S42" s="305"/>
      <c r="T42" s="305"/>
      <c r="U42" s="305"/>
      <c r="V42" s="305"/>
      <c r="W42" s="305"/>
      <c r="X42" s="305"/>
      <c r="Y42" s="305"/>
      <c r="Z42" s="305"/>
    </row>
    <row r="43" spans="1:26" ht="19.5" customHeight="1" thickBot="1">
      <c r="A43" s="88"/>
      <c r="B43" s="88"/>
      <c r="C43" s="222" t="s">
        <v>412</v>
      </c>
      <c r="D43" s="88"/>
    </row>
    <row r="44" spans="1:26" hidden="1">
      <c r="A44" s="88"/>
      <c r="B44" s="88"/>
      <c r="C44" s="88"/>
      <c r="D44" s="88"/>
    </row>
    <row r="45" spans="1:26" hidden="1">
      <c r="A45" s="88"/>
      <c r="B45" s="88"/>
      <c r="C45" s="88"/>
      <c r="D45" s="88"/>
    </row>
    <row r="46" spans="1:26" hidden="1">
      <c r="A46" s="88"/>
      <c r="B46" s="88"/>
      <c r="C46" s="88"/>
      <c r="D46" s="88"/>
    </row>
    <row r="47" spans="1:26" ht="3.75" customHeight="1">
      <c r="A47" s="88"/>
      <c r="B47" s="88"/>
      <c r="C47" s="88"/>
      <c r="D47" s="88"/>
    </row>
    <row r="48" spans="1:26"/>
    <row r="49" ht="15" hidden="1" customHeight="1"/>
    <row r="50" ht="15" hidden="1" customHeight="1"/>
    <row r="55" ht="15" hidden="1" customHeight="1"/>
  </sheetData>
  <sheetProtection algorithmName="SHA-512" hashValue="JdaPrxEqNK8f9zaM/i565MVeIGiWdQLC8J/chEyFMEls42Qx1OD6jEoqBSlK5hyKC3GzWIOTg1tahq8IYuTQ6Q==" saltValue="cfWYMjVLX2iyAxhJxVcpnQ==" spinCount="100000" sheet="1" selectLockedCells="1"/>
  <mergeCells count="8">
    <mergeCell ref="B4:C4"/>
    <mergeCell ref="Q31:Z31"/>
    <mergeCell ref="Q42:Z42"/>
    <mergeCell ref="B5:C5"/>
    <mergeCell ref="B8:C8"/>
    <mergeCell ref="B7:C7"/>
    <mergeCell ref="B23:C23"/>
    <mergeCell ref="B29:C29"/>
  </mergeCells>
  <hyperlinks>
    <hyperlink ref="C43" location="'ISIAN DATA'!Print_Area" display="&lt;&lt; Menu Utama"/>
  </hyperlinks>
  <pageMargins left="0.70866141732283472" right="0.66" top="0.66" bottom="0.43" header="0.31496062992125984" footer="0.31496062992125984"/>
  <pageSetup paperSize="10000" orientation="portrait" horizontalDpi="4294967293" verticalDpi="4294967293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'ISIAN DATA'!$H$102:$H$122</xm:f>
          </x14:formula1>
          <xm:sqref>C2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F66"/>
  <sheetViews>
    <sheetView showGridLines="0" topLeftCell="A26" zoomScale="110" zoomScaleNormal="110" workbookViewId="0">
      <selection activeCell="E2" sqref="E2"/>
    </sheetView>
  </sheetViews>
  <sheetFormatPr defaultColWidth="0" defaultRowHeight="14.25" zeroHeight="1"/>
  <cols>
    <col min="1" max="1" width="3" style="1" customWidth="1"/>
    <col min="2" max="2" width="9.5703125" style="1" customWidth="1"/>
    <col min="3" max="3" width="12.140625" style="1" customWidth="1"/>
    <col min="4" max="4" width="18.85546875" style="1" customWidth="1"/>
    <col min="5" max="5" width="50.140625" style="1" customWidth="1"/>
    <col min="6" max="6" width="3" style="1" customWidth="1"/>
    <col min="7" max="16384" width="9.140625" style="1" hidden="1"/>
  </cols>
  <sheetData>
    <row r="1" spans="2:6" ht="22.5" customHeight="1" thickBot="1">
      <c r="B1" s="314" t="s">
        <v>367</v>
      </c>
      <c r="C1" s="315"/>
      <c r="D1" s="315"/>
      <c r="E1" s="316"/>
    </row>
    <row r="2" spans="2:6" ht="17.25" customHeight="1" thickBot="1">
      <c r="B2" s="204"/>
      <c r="C2" s="204"/>
      <c r="D2" s="204"/>
      <c r="E2" s="220" t="s">
        <v>412</v>
      </c>
    </row>
    <row r="4" spans="2:6" ht="75" hidden="1" customHeight="1"/>
    <row r="5" spans="2:6" ht="56.25" customHeight="1">
      <c r="B5" s="317"/>
      <c r="C5" s="317"/>
      <c r="D5" s="317"/>
      <c r="E5" s="317"/>
    </row>
    <row r="6" spans="2:6" ht="15" customHeight="1">
      <c r="B6" s="318" t="s">
        <v>0</v>
      </c>
      <c r="C6" s="318"/>
      <c r="D6" s="318"/>
      <c r="E6" s="318"/>
      <c r="F6" s="2"/>
    </row>
    <row r="7" spans="2:6" ht="15" customHeight="1">
      <c r="B7" s="318" t="s">
        <v>1</v>
      </c>
      <c r="C7" s="318"/>
      <c r="D7" s="318"/>
      <c r="E7" s="318"/>
      <c r="F7" s="2"/>
    </row>
    <row r="8" spans="2:6" ht="15" customHeight="1">
      <c r="B8" s="318" t="str">
        <f>"DESA "&amp;'ISIAN DATA'!H3</f>
        <v>DESA TAMBI</v>
      </c>
      <c r="C8" s="318"/>
      <c r="D8" s="318"/>
      <c r="E8" s="318"/>
    </row>
    <row r="9" spans="2:6" ht="10.5" customHeight="1">
      <c r="B9" s="129"/>
      <c r="C9" s="129"/>
    </row>
    <row r="10" spans="2:6" ht="15" customHeight="1">
      <c r="B10" s="154" t="s">
        <v>129</v>
      </c>
      <c r="C10" s="16" t="str">
        <f>'ISIAN DATA'!H7</f>
        <v>400.12.3.2/19/X/2026</v>
      </c>
      <c r="D10" s="16"/>
      <c r="E10" s="155" t="str">
        <f>'ISIAN DATA'!H8</f>
        <v>Tambi, 08 Oktober 2026</v>
      </c>
    </row>
    <row r="11" spans="2:6" ht="15" customHeight="1">
      <c r="B11" s="154" t="s">
        <v>323</v>
      </c>
      <c r="C11" s="16" t="s">
        <v>326</v>
      </c>
      <c r="D11" s="16"/>
      <c r="E11" s="16"/>
    </row>
    <row r="12" spans="2:6" ht="15" customHeight="1">
      <c r="B12" s="154" t="s">
        <v>29</v>
      </c>
      <c r="C12" s="17" t="s">
        <v>324</v>
      </c>
      <c r="D12" s="16"/>
      <c r="E12" s="16"/>
    </row>
    <row r="13" spans="2:6" ht="14.25" customHeight="1">
      <c r="B13" s="154"/>
      <c r="C13" s="17"/>
      <c r="D13" s="16"/>
      <c r="E13" s="16"/>
    </row>
    <row r="14" spans="2:6" ht="4.5" customHeight="1">
      <c r="B14" s="154"/>
      <c r="C14" s="16"/>
      <c r="D14" s="16"/>
      <c r="E14" s="16"/>
    </row>
    <row r="15" spans="2:6" ht="14.25" customHeight="1">
      <c r="B15" s="154"/>
      <c r="C15" s="16"/>
      <c r="E15" s="157" t="s">
        <v>30</v>
      </c>
    </row>
    <row r="16" spans="2:6" ht="14.25" customHeight="1">
      <c r="B16" s="154"/>
      <c r="C16" s="16"/>
      <c r="E16" s="157" t="s">
        <v>327</v>
      </c>
    </row>
    <row r="17" spans="2:5" ht="19.5" customHeight="1">
      <c r="B17" s="154"/>
      <c r="C17" s="16"/>
      <c r="E17" s="157" t="s">
        <v>194</v>
      </c>
    </row>
    <row r="18" spans="2:5" ht="9.75" customHeight="1">
      <c r="B18" s="154"/>
      <c r="C18" s="16"/>
      <c r="E18" s="157"/>
    </row>
    <row r="19" spans="2:5" ht="6" customHeight="1">
      <c r="B19" s="16"/>
      <c r="C19" s="16"/>
      <c r="D19" s="16"/>
      <c r="E19" s="16"/>
    </row>
    <row r="20" spans="2:5" ht="30" customHeight="1">
      <c r="B20" s="312" t="str">
        <f>"      "&amp;"Berdasarkan permohonan kehendak nikah calon pengantin dan Pengantar Nikah dari Kepala Desa "&amp;PROPER('ISIAN DATA'!H3)&amp;", calon pasangan pengantin tersebut di bawah ini:"</f>
        <v xml:space="preserve">      Berdasarkan permohonan kehendak nikah calon pengantin dan Pengantar Nikah dari Kepala Desa Tambi, calon pasangan pengantin tersebut di bawah ini:</v>
      </c>
      <c r="C20" s="312"/>
      <c r="D20" s="312"/>
      <c r="E20" s="312"/>
    </row>
    <row r="21" spans="2:5" ht="9" customHeight="1">
      <c r="B21" s="16"/>
      <c r="C21" s="156"/>
      <c r="D21" s="16"/>
      <c r="E21" s="16"/>
    </row>
    <row r="22" spans="2:5" ht="15" customHeight="1">
      <c r="B22" s="17" t="s">
        <v>69</v>
      </c>
      <c r="D22" s="16"/>
      <c r="E22" s="16"/>
    </row>
    <row r="23" spans="2:5" ht="15" customHeight="1">
      <c r="B23" s="308" t="s">
        <v>5</v>
      </c>
      <c r="C23" s="308"/>
      <c r="D23" s="313" t="str">
        <f>IF(D48="","-",'ISIAN DATA'!H42)</f>
        <v>-</v>
      </c>
      <c r="E23" s="313"/>
    </row>
    <row r="24" spans="2:5" ht="15" customHeight="1">
      <c r="B24" s="308" t="s">
        <v>90</v>
      </c>
      <c r="C24" s="308"/>
      <c r="D24" s="307" t="str">
        <f>'ISIAN DATA'!H43</f>
        <v>3327034810050002</v>
      </c>
      <c r="E24" s="307"/>
    </row>
    <row r="25" spans="2:5" ht="15" customHeight="1">
      <c r="B25" s="308" t="s">
        <v>431</v>
      </c>
      <c r="C25" s="308"/>
      <c r="D25" s="307" t="str">
        <f>'ISIAN DATA'!H44</f>
        <v>PEMALANG, 8 OKTOBER 2005</v>
      </c>
      <c r="E25" s="307"/>
    </row>
    <row r="26" spans="2:5" ht="15" customHeight="1">
      <c r="B26" s="308" t="s">
        <v>432</v>
      </c>
      <c r="C26" s="308"/>
      <c r="D26" s="156" t="str">
        <f>'ISIAN DATA'!H46</f>
        <v>INDONESIA</v>
      </c>
      <c r="E26" s="156"/>
    </row>
    <row r="27" spans="2:5" ht="15" customHeight="1">
      <c r="B27" s="308" t="s">
        <v>11</v>
      </c>
      <c r="C27" s="308"/>
      <c r="D27" s="156" t="s">
        <v>290</v>
      </c>
      <c r="E27" s="156"/>
    </row>
    <row r="28" spans="2:5" ht="15" customHeight="1">
      <c r="B28" s="308" t="s">
        <v>12</v>
      </c>
      <c r="C28" s="308"/>
      <c r="D28" s="307" t="str">
        <f>IF(D48="","-",(PROPER('ISIAN DATA'!H45)))</f>
        <v>-</v>
      </c>
      <c r="E28" s="307"/>
    </row>
    <row r="29" spans="2:5" ht="15" customHeight="1">
      <c r="B29" s="308" t="s">
        <v>13</v>
      </c>
      <c r="C29" s="308"/>
      <c r="D29" s="307" t="str">
        <f>IF(D48="","-",(PROPER('ISIAN DATA'!H48)))</f>
        <v>-</v>
      </c>
      <c r="E29" s="307"/>
    </row>
    <row r="30" spans="2:5" ht="15" customHeight="1">
      <c r="B30" s="308"/>
      <c r="C30" s="308"/>
      <c r="D30" s="307" t="str">
        <f>IF(D48="","-",(PROPER('ISIAN DATA'!H49)))</f>
        <v>-</v>
      </c>
      <c r="E30" s="307"/>
    </row>
    <row r="31" spans="2:5" ht="15" customHeight="1">
      <c r="B31" s="308" t="s">
        <v>429</v>
      </c>
      <c r="C31" s="308"/>
      <c r="D31" s="156" t="str">
        <f>'ISIAN DATA'!H51</f>
        <v>SAMIUN</v>
      </c>
      <c r="E31" s="156"/>
    </row>
    <row r="32" spans="2:5" ht="15" customHeight="1">
      <c r="B32" s="308" t="s">
        <v>430</v>
      </c>
      <c r="C32" s="308"/>
      <c r="D32" s="156" t="str">
        <f>'ISIAN DATA'!H60</f>
        <v>SRINANI</v>
      </c>
      <c r="E32" s="156"/>
    </row>
    <row r="33" spans="2:5" ht="9" customHeight="1">
      <c r="B33" s="16"/>
      <c r="D33" s="16"/>
      <c r="E33" s="16"/>
    </row>
    <row r="34" spans="2:5" ht="15" customHeight="1">
      <c r="B34" s="17" t="s">
        <v>68</v>
      </c>
      <c r="C34" s="156"/>
      <c r="D34" s="16"/>
      <c r="E34" s="16"/>
    </row>
    <row r="35" spans="2:5" ht="15" customHeight="1">
      <c r="B35" s="308" t="s">
        <v>5</v>
      </c>
      <c r="C35" s="308"/>
      <c r="D35" s="313" t="str">
        <f>IF(D48="","-",'ISIAN DATA'!H14)</f>
        <v>-</v>
      </c>
      <c r="E35" s="313"/>
    </row>
    <row r="36" spans="2:5" ht="15" customHeight="1">
      <c r="B36" s="308" t="s">
        <v>90</v>
      </c>
      <c r="C36" s="308"/>
      <c r="D36" s="307" t="str">
        <f>'ISIAN DATA'!H15</f>
        <v>3327041308020004</v>
      </c>
      <c r="E36" s="307"/>
    </row>
    <row r="37" spans="2:5" ht="15" customHeight="1">
      <c r="B37" s="308" t="s">
        <v>431</v>
      </c>
      <c r="C37" s="308"/>
      <c r="D37" s="307" t="str">
        <f>PROPER('ISIAN DATA'!H16)</f>
        <v>Pemalang, 13 Agustus 2002</v>
      </c>
      <c r="E37" s="307"/>
    </row>
    <row r="38" spans="2:5" ht="15" customHeight="1">
      <c r="B38" s="308" t="s">
        <v>432</v>
      </c>
      <c r="C38" s="308"/>
      <c r="D38" s="156" t="str">
        <f>PROPER('ISIAN DATA'!H18)</f>
        <v>Indonesia</v>
      </c>
      <c r="E38" s="156"/>
    </row>
    <row r="39" spans="2:5" ht="15" customHeight="1">
      <c r="B39" s="308" t="s">
        <v>11</v>
      </c>
      <c r="C39" s="308"/>
      <c r="D39" s="156" t="s">
        <v>290</v>
      </c>
      <c r="E39" s="156"/>
    </row>
    <row r="40" spans="2:5" ht="15" customHeight="1">
      <c r="B40" s="308" t="s">
        <v>12</v>
      </c>
      <c r="C40" s="308"/>
      <c r="D40" s="307" t="str">
        <f>IF(D48="","-",(PROPER('ISIAN DATA'!H17)))</f>
        <v>-</v>
      </c>
      <c r="E40" s="307"/>
    </row>
    <row r="41" spans="2:5" ht="15" customHeight="1">
      <c r="B41" s="308" t="s">
        <v>13</v>
      </c>
      <c r="C41" s="308"/>
      <c r="D41" s="307" t="str">
        <f>IF(D48="","-",(PROPER('ISIAN DATA'!H20)))</f>
        <v>-</v>
      </c>
      <c r="E41" s="307"/>
    </row>
    <row r="42" spans="2:5" ht="15" customHeight="1">
      <c r="B42" s="16"/>
      <c r="D42" s="307" t="str">
        <f>IF(D48="","-",(PROPER('ISIAN DATA'!H21)))</f>
        <v>-</v>
      </c>
      <c r="E42" s="307"/>
    </row>
    <row r="43" spans="2:5" ht="15" customHeight="1">
      <c r="B43" s="308" t="s">
        <v>429</v>
      </c>
      <c r="C43" s="308"/>
      <c r="D43" s="156" t="str">
        <f>'ISIAN DATA'!H23</f>
        <v>TOHIRIN</v>
      </c>
      <c r="E43" s="156"/>
    </row>
    <row r="44" spans="2:5" ht="15" customHeight="1">
      <c r="B44" s="308" t="s">
        <v>430</v>
      </c>
      <c r="C44" s="308"/>
      <c r="D44" s="156" t="str">
        <f>'ISIAN DATA'!H32</f>
        <v>KARIPAH</v>
      </c>
      <c r="E44" s="156"/>
    </row>
    <row r="45" spans="2:5" ht="9" customHeight="1">
      <c r="B45" s="16"/>
      <c r="D45" s="16"/>
      <c r="E45" s="16"/>
    </row>
    <row r="46" spans="2:5" ht="15" customHeight="1">
      <c r="B46" s="16" t="s">
        <v>433</v>
      </c>
      <c r="D46" s="16"/>
      <c r="E46" s="16"/>
    </row>
    <row r="47" spans="2:5" ht="15" customHeight="1">
      <c r="B47" s="308" t="s">
        <v>282</v>
      </c>
      <c r="C47" s="308"/>
      <c r="D47" s="313" t="str">
        <f>IF(D48="","-",(PROPER('ISIAN DATA'!H9)))</f>
        <v>-</v>
      </c>
      <c r="E47" s="313"/>
    </row>
    <row r="48" spans="2:5" ht="15" customHeight="1">
      <c r="B48" s="308" t="s">
        <v>328</v>
      </c>
      <c r="C48" s="308"/>
      <c r="D48" s="307" t="str">
        <f>'ISIAN DATA'!I10</f>
        <v/>
      </c>
      <c r="E48" s="307"/>
    </row>
    <row r="49" spans="2:5" ht="9" customHeight="1">
      <c r="B49" s="16"/>
      <c r="D49" s="16"/>
      <c r="E49" s="16"/>
    </row>
    <row r="50" spans="2:5" ht="33" customHeight="1">
      <c r="B50" s="312" t="s">
        <v>325</v>
      </c>
      <c r="C50" s="312"/>
      <c r="D50" s="312"/>
      <c r="E50" s="312"/>
    </row>
    <row r="51" spans="2:5" ht="4.5" customHeight="1">
      <c r="B51" s="16"/>
      <c r="D51" s="16"/>
      <c r="E51" s="16"/>
    </row>
    <row r="52" spans="2:5" ht="30" customHeight="1">
      <c r="B52" s="312" t="s">
        <v>411</v>
      </c>
      <c r="C52" s="312"/>
      <c r="D52" s="312"/>
      <c r="E52" s="312"/>
    </row>
    <row r="53" spans="2:5" ht="15" customHeight="1">
      <c r="B53" s="16"/>
      <c r="C53" s="16"/>
      <c r="D53" s="16"/>
      <c r="E53" s="16"/>
    </row>
    <row r="54" spans="2:5" ht="15" customHeight="1">
      <c r="B54" s="16"/>
      <c r="C54" s="16"/>
      <c r="D54" s="16"/>
      <c r="E54" s="157" t="s">
        <v>23</v>
      </c>
    </row>
    <row r="55" spans="2:5" ht="18" customHeight="1">
      <c r="B55" s="16"/>
      <c r="C55" s="16"/>
      <c r="E55" s="159"/>
    </row>
    <row r="56" spans="2:5" ht="18" customHeight="1">
      <c r="B56" s="16"/>
      <c r="C56" s="16"/>
      <c r="E56" s="159"/>
    </row>
    <row r="57" spans="2:5" ht="18" customHeight="1">
      <c r="B57" s="16"/>
      <c r="C57" s="16"/>
      <c r="E57" s="159"/>
    </row>
    <row r="58" spans="2:5" ht="15" customHeight="1">
      <c r="B58" s="16"/>
      <c r="C58" s="16"/>
      <c r="E58" s="158" t="str">
        <f>'ISIAN DATA'!H5</f>
        <v>J U R I</v>
      </c>
    </row>
    <row r="59" spans="2:5" ht="6.75" customHeight="1">
      <c r="B59" s="16"/>
      <c r="C59" s="16"/>
      <c r="E59" s="158"/>
    </row>
    <row r="60" spans="2:5" ht="15" hidden="1" customHeight="1">
      <c r="B60" s="169" t="s">
        <v>368</v>
      </c>
      <c r="E60" s="170"/>
    </row>
    <row r="61" spans="2:5" ht="15" hidden="1" customHeight="1">
      <c r="B61" s="311" t="s">
        <v>369</v>
      </c>
      <c r="C61" s="311"/>
      <c r="D61" s="311"/>
      <c r="E61" s="311"/>
    </row>
    <row r="62" spans="2:5" ht="17.25" hidden="1" customHeight="1">
      <c r="B62" s="309" t="s">
        <v>68</v>
      </c>
      <c r="C62" s="309"/>
      <c r="D62" s="310" t="s">
        <v>370</v>
      </c>
      <c r="E62" s="310"/>
    </row>
    <row r="63" spans="2:5" ht="18" hidden="1" customHeight="1">
      <c r="B63" s="309" t="s">
        <v>69</v>
      </c>
      <c r="C63" s="309"/>
      <c r="D63" s="310" t="s">
        <v>370</v>
      </c>
      <c r="E63" s="310"/>
    </row>
    <row r="64" spans="2:5" ht="6" customHeight="1"/>
    <row r="65"/>
    <row r="66"/>
  </sheetData>
  <sheetProtection algorithmName="SHA-512" hashValue="Tbx7oKktMrFwWm8BcefKyFtcALQkLeUJaomWpmcUGAMAdcpzAkGF9MDZDYIr7ZPhiZXba0NIYRup+Y8gxpeN7w==" saltValue="PXGqhpQU1DwMEUwtc2DS8g==" spinCount="100000" sheet="1" selectLockedCells="1"/>
  <mergeCells count="48">
    <mergeCell ref="D29:E29"/>
    <mergeCell ref="D30:E30"/>
    <mergeCell ref="B29:C29"/>
    <mergeCell ref="B47:C47"/>
    <mergeCell ref="B48:C48"/>
    <mergeCell ref="B38:C38"/>
    <mergeCell ref="B39:C39"/>
    <mergeCell ref="B43:C43"/>
    <mergeCell ref="B44:C44"/>
    <mergeCell ref="D35:E35"/>
    <mergeCell ref="D36:E36"/>
    <mergeCell ref="D37:E37"/>
    <mergeCell ref="B35:C35"/>
    <mergeCell ref="B31:C31"/>
    <mergeCell ref="B32:C32"/>
    <mergeCell ref="B30:C30"/>
    <mergeCell ref="B1:E1"/>
    <mergeCell ref="B5:E5"/>
    <mergeCell ref="D24:E24"/>
    <mergeCell ref="D25:E25"/>
    <mergeCell ref="D28:E28"/>
    <mergeCell ref="D23:E23"/>
    <mergeCell ref="B26:C26"/>
    <mergeCell ref="B27:C27"/>
    <mergeCell ref="B23:C23"/>
    <mergeCell ref="B24:C24"/>
    <mergeCell ref="B25:C25"/>
    <mergeCell ref="B28:C28"/>
    <mergeCell ref="B6:E6"/>
    <mergeCell ref="B7:E7"/>
    <mergeCell ref="B8:E8"/>
    <mergeCell ref="B20:E20"/>
    <mergeCell ref="D40:E40"/>
    <mergeCell ref="B36:C36"/>
    <mergeCell ref="B37:C37"/>
    <mergeCell ref="B40:C40"/>
    <mergeCell ref="D41:E41"/>
    <mergeCell ref="D42:E42"/>
    <mergeCell ref="B41:C41"/>
    <mergeCell ref="B62:C62"/>
    <mergeCell ref="B63:C63"/>
    <mergeCell ref="D62:E62"/>
    <mergeCell ref="D63:E63"/>
    <mergeCell ref="B61:E61"/>
    <mergeCell ref="B50:E50"/>
    <mergeCell ref="B52:E52"/>
    <mergeCell ref="D48:E48"/>
    <mergeCell ref="D47:E47"/>
  </mergeCells>
  <hyperlinks>
    <hyperlink ref="E2" location="'ISIAN DATA'!Print_Area" display="&lt;&lt; Menu Utama"/>
  </hyperlinks>
  <pageMargins left="0.76" right="0.57999999999999996" top="0.28000000000000003" bottom="0.31" header="0.26" footer="0.15"/>
  <pageSetup paperSize="10000" orientation="portrait" horizontalDpi="4294967293" verticalDpi="4294967293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F52"/>
  <sheetViews>
    <sheetView showGridLines="0" zoomScale="110" zoomScaleNormal="110" workbookViewId="0">
      <selection activeCell="D36" sqref="D36"/>
    </sheetView>
  </sheetViews>
  <sheetFormatPr defaultColWidth="0" defaultRowHeight="15" zeroHeight="1"/>
  <cols>
    <col min="1" max="1" width="5" style="76" customWidth="1"/>
    <col min="2" max="2" width="15.7109375" style="76" customWidth="1"/>
    <col min="3" max="3" width="9.5703125" style="76" customWidth="1"/>
    <col min="4" max="4" width="28.28515625" style="76" customWidth="1"/>
    <col min="5" max="5" width="33.140625" style="76" customWidth="1"/>
    <col min="6" max="6" width="5" style="76" customWidth="1"/>
    <col min="7" max="16384" width="9.140625" style="76" hidden="1"/>
  </cols>
  <sheetData>
    <row r="1" spans="1:6" s="210" customFormat="1" ht="21" customHeight="1" thickBot="1">
      <c r="A1" s="319" t="s">
        <v>415</v>
      </c>
      <c r="B1" s="320"/>
      <c r="C1" s="320"/>
      <c r="D1" s="320"/>
      <c r="E1" s="212" t="s">
        <v>412</v>
      </c>
      <c r="F1" s="211"/>
    </row>
    <row r="2" spans="1:6" ht="15.75" customHeight="1">
      <c r="B2" s="323"/>
      <c r="C2" s="323"/>
      <c r="D2" s="323"/>
      <c r="E2" s="323"/>
    </row>
    <row r="3" spans="1:6" ht="24" customHeight="1">
      <c r="B3" s="326" t="s">
        <v>92</v>
      </c>
      <c r="C3" s="326"/>
      <c r="D3" s="326"/>
      <c r="E3" s="326"/>
    </row>
    <row r="4" spans="1:6" ht="16.5" customHeight="1">
      <c r="B4" s="326" t="s">
        <v>285</v>
      </c>
      <c r="C4" s="326"/>
      <c r="D4" s="326"/>
      <c r="E4" s="326"/>
    </row>
    <row r="5" spans="1:6" ht="18.75" customHeight="1">
      <c r="B5" s="321" t="s">
        <v>426</v>
      </c>
      <c r="C5" s="322"/>
      <c r="D5" s="322"/>
      <c r="E5" s="322"/>
    </row>
    <row r="6" spans="1:6" ht="16.5" customHeight="1">
      <c r="B6" s="77" t="s">
        <v>281</v>
      </c>
      <c r="C6" s="76" t="str">
        <f>RDS!F59</f>
        <v>Chalim Muchtarom, S.Pd.I</v>
      </c>
      <c r="E6" s="214" t="str">
        <f>"Desa : "&amp;PROPER('ISIAN DATA'!H3)</f>
        <v>Desa : Tambi</v>
      </c>
    </row>
    <row r="7" spans="1:6" ht="16.5" customHeight="1">
      <c r="B7" s="77" t="s">
        <v>282</v>
      </c>
      <c r="C7" s="76" t="str">
        <f>'ISIAN DATA'!H9</f>
        <v>KAMIS, 19 NOVEMBER 2026</v>
      </c>
      <c r="E7" s="214" t="str">
        <f>RDS!H6</f>
        <v>Jam : 08:30 WIB</v>
      </c>
    </row>
    <row r="8" spans="1:6" ht="16.5" customHeight="1">
      <c r="B8" s="77" t="s">
        <v>283</v>
      </c>
      <c r="C8" s="76" t="str">
        <f>'ISIAN DATA'!H11</f>
        <v>DSN SIMADU RT 003 RW 008 DESA BADAK KECAMATAN BELIK KABUPATEN PEMALANG</v>
      </c>
    </row>
    <row r="9" spans="1:6">
      <c r="B9" s="321" t="s">
        <v>426</v>
      </c>
      <c r="C9" s="322"/>
      <c r="D9" s="322"/>
      <c r="E9" s="322"/>
    </row>
    <row r="10" spans="1:6" ht="19.5" customHeight="1">
      <c r="B10" s="78" t="str">
        <f>'ISIAN DATA'!H14</f>
        <v>AOFA ARDIAN FADILLAH AZIZ</v>
      </c>
      <c r="E10" s="230" t="str">
        <f>'ISIAN DATA'!J19</f>
        <v>Jejaka - SLTA</v>
      </c>
    </row>
    <row r="11" spans="1:6">
      <c r="C11" s="77" t="s">
        <v>63</v>
      </c>
      <c r="D11" s="76" t="str">
        <f>'ISIAN DATA'!J23</f>
        <v>Tohirin</v>
      </c>
      <c r="E11" s="230"/>
    </row>
    <row r="12" spans="1:6">
      <c r="E12" s="230"/>
    </row>
    <row r="13" spans="1:6" ht="18" customHeight="1">
      <c r="B13" s="78" t="str">
        <f>'ISIAN DATA'!H42</f>
        <v>FIKA INTAN ELMASARI</v>
      </c>
      <c r="E13" s="230" t="str">
        <f>'ISIAN DATA'!J47</f>
        <v>Perawan - SLTA</v>
      </c>
    </row>
    <row r="14" spans="1:6">
      <c r="C14" s="77" t="s">
        <v>66</v>
      </c>
      <c r="D14" s="76" t="str">
        <f>'ISIAN DATA'!J51</f>
        <v>Samiun</v>
      </c>
    </row>
    <row r="15" spans="1:6" ht="10.5" customHeight="1"/>
    <row r="16" spans="1:6">
      <c r="B16" s="76" t="str">
        <f>'ISIAN DATA'!H70</f>
        <v>WALI NASAB</v>
      </c>
    </row>
    <row r="17" spans="2:5">
      <c r="C17" s="76" t="str">
        <f>PROPER('ISIAN DATA'!I71)</f>
        <v>Ayah Kandung</v>
      </c>
    </row>
    <row r="18" spans="2:5">
      <c r="C18" s="76" t="str">
        <f>IF('ISIAN DATA'!H70="WALI HAKIM","-",'ISIAN DATA'!I75)</f>
        <v>SAMIUN Bin WASNURI</v>
      </c>
    </row>
    <row r="19" spans="2:5"/>
    <row r="20" spans="2:5">
      <c r="B20" s="325" t="s">
        <v>249</v>
      </c>
      <c r="C20" s="325"/>
      <c r="D20" s="4" t="s">
        <v>95</v>
      </c>
    </row>
    <row r="21" spans="2:5" ht="21" customHeight="1">
      <c r="D21" s="215" t="s">
        <v>286</v>
      </c>
      <c r="E21" s="215"/>
    </row>
    <row r="22" spans="2:5" ht="24.75" customHeight="1" thickBot="1">
      <c r="D22" s="79"/>
      <c r="E22" s="79"/>
    </row>
    <row r="23" spans="2:5" ht="4.5" customHeight="1" thickTop="1"/>
    <row r="24" spans="2:5" ht="17.25" customHeight="1">
      <c r="B24" s="76" t="s">
        <v>93</v>
      </c>
    </row>
    <row r="25" spans="2:5" ht="17.25" customHeight="1">
      <c r="B25" s="324" t="s">
        <v>5</v>
      </c>
      <c r="C25" s="324"/>
      <c r="D25" s="213" t="s">
        <v>284</v>
      </c>
    </row>
    <row r="26" spans="2:5" ht="17.25" customHeight="1">
      <c r="B26" s="324" t="s">
        <v>79</v>
      </c>
      <c r="C26" s="324"/>
      <c r="D26" s="213" t="s">
        <v>284</v>
      </c>
    </row>
    <row r="27" spans="2:5" ht="17.25" customHeight="1">
      <c r="B27" s="324" t="s">
        <v>90</v>
      </c>
      <c r="C27" s="324"/>
      <c r="D27" s="213" t="s">
        <v>284</v>
      </c>
    </row>
    <row r="28" spans="2:5" ht="17.25" customHeight="1">
      <c r="B28" s="324" t="s">
        <v>12</v>
      </c>
      <c r="C28" s="324"/>
      <c r="D28" s="213" t="s">
        <v>284</v>
      </c>
    </row>
    <row r="29" spans="2:5" ht="17.25" customHeight="1">
      <c r="B29" s="324" t="s">
        <v>13</v>
      </c>
      <c r="C29" s="324"/>
      <c r="D29" s="213" t="s">
        <v>284</v>
      </c>
    </row>
    <row r="30" spans="2:5" ht="17.25" customHeight="1"/>
    <row r="31" spans="2:5" ht="17.25" customHeight="1">
      <c r="B31" s="76" t="s">
        <v>280</v>
      </c>
    </row>
    <row r="32" spans="2:5" ht="17.25" customHeight="1">
      <c r="B32" s="324" t="s">
        <v>5</v>
      </c>
      <c r="C32" s="324"/>
      <c r="D32" s="213" t="s">
        <v>284</v>
      </c>
    </row>
    <row r="33" spans="2:5" ht="17.25" customHeight="1">
      <c r="B33" s="324" t="s">
        <v>79</v>
      </c>
      <c r="C33" s="324"/>
      <c r="D33" s="213" t="s">
        <v>284</v>
      </c>
    </row>
    <row r="34" spans="2:5" ht="17.25" customHeight="1">
      <c r="B34" s="324" t="s">
        <v>90</v>
      </c>
      <c r="C34" s="324"/>
      <c r="D34" s="213" t="s">
        <v>284</v>
      </c>
    </row>
    <row r="35" spans="2:5" ht="17.25" customHeight="1">
      <c r="B35" s="324" t="s">
        <v>12</v>
      </c>
      <c r="C35" s="324"/>
      <c r="D35" s="213" t="s">
        <v>284</v>
      </c>
    </row>
    <row r="36" spans="2:5" ht="17.25" customHeight="1">
      <c r="B36" s="324" t="s">
        <v>13</v>
      </c>
      <c r="C36" s="324"/>
      <c r="D36" s="213" t="s">
        <v>284</v>
      </c>
    </row>
    <row r="37" spans="2:5" ht="6.75" customHeight="1"/>
    <row r="38" spans="2:5"/>
    <row r="39" spans="2:5" ht="17.25" customHeight="1">
      <c r="B39" s="76" t="s">
        <v>94</v>
      </c>
      <c r="C39" s="80"/>
      <c r="D39" s="81"/>
      <c r="E39" s="82"/>
    </row>
    <row r="40" spans="2:5" ht="17.25" customHeight="1">
      <c r="C40" s="83"/>
      <c r="E40" s="84"/>
    </row>
    <row r="41" spans="2:5" ht="17.25" customHeight="1">
      <c r="C41" s="83"/>
      <c r="E41" s="84"/>
    </row>
    <row r="42" spans="2:5" ht="82.5" customHeight="1">
      <c r="C42" s="83"/>
      <c r="E42" s="84"/>
    </row>
    <row r="43" spans="2:5" ht="17.25" customHeight="1">
      <c r="C43" s="85"/>
      <c r="D43" s="86"/>
      <c r="E43" s="87"/>
    </row>
    <row r="44" spans="2:5" ht="6.75" customHeight="1"/>
    <row r="45" spans="2:5" ht="19.5" customHeight="1">
      <c r="E45" s="76" t="s">
        <v>416</v>
      </c>
    </row>
    <row r="46" spans="2:5">
      <c r="E46" s="76" t="s">
        <v>417</v>
      </c>
    </row>
    <row r="47" spans="2:5" ht="50.25" customHeight="1"/>
    <row r="48" spans="2:5">
      <c r="E48" s="76" t="s">
        <v>418</v>
      </c>
    </row>
    <row r="49"/>
    <row r="50" ht="5.25" customHeight="1"/>
    <row r="51" ht="6" customHeight="1"/>
    <row r="52" ht="5.25" customHeight="1"/>
  </sheetData>
  <sheetProtection algorithmName="SHA-512" hashValue="aH51dNeDuYYMnUjuXdcovFjdI+ikV2ELMn1p8bfFuMbWSngPs46qVgkCYvmlUVa49xLNjj8iJWLkcR9InzQYtg==" saltValue="68z/Oy3AFDRzsq9OKt0+JQ==" spinCount="100000" sheet="1" objects="1" scenarios="1" selectLockedCells="1"/>
  <mergeCells count="17">
    <mergeCell ref="B28:C28"/>
    <mergeCell ref="A1:D1"/>
    <mergeCell ref="B5:E5"/>
    <mergeCell ref="B9:E9"/>
    <mergeCell ref="B2:E2"/>
    <mergeCell ref="B36:C36"/>
    <mergeCell ref="B20:C20"/>
    <mergeCell ref="B4:E4"/>
    <mergeCell ref="B3:E3"/>
    <mergeCell ref="B29:C29"/>
    <mergeCell ref="B32:C32"/>
    <mergeCell ref="B33:C33"/>
    <mergeCell ref="B34:C34"/>
    <mergeCell ref="B35:C35"/>
    <mergeCell ref="B25:C25"/>
    <mergeCell ref="B26:C26"/>
    <mergeCell ref="B27:C27"/>
  </mergeCells>
  <hyperlinks>
    <hyperlink ref="E1" location="'ISIAN DATA'!Print_Area" display="&lt;&lt; Menu Utama"/>
  </hyperlinks>
  <pageMargins left="0.70866141732283472" right="0.49" top="0.56000000000000005" bottom="0.74803149606299213" header="0.31496062992125984" footer="0.31496062992125984"/>
  <pageSetup paperSize="10000" orientation="portrait" horizontalDpi="4294967293" vertic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H65"/>
  <sheetViews>
    <sheetView zoomScaleNormal="100" workbookViewId="0">
      <selection activeCell="F15" sqref="F15"/>
    </sheetView>
  </sheetViews>
  <sheetFormatPr defaultColWidth="0" defaultRowHeight="15" zeroHeight="1"/>
  <cols>
    <col min="1" max="1" width="17" style="131" customWidth="1"/>
    <col min="2" max="2" width="0.85546875" style="131" customWidth="1"/>
    <col min="3" max="3" width="36.28515625" style="131" customWidth="1"/>
    <col min="4" max="4" width="0.85546875" style="131" customWidth="1"/>
    <col min="5" max="5" width="4" style="131" customWidth="1"/>
    <col min="6" max="6" width="35.42578125" style="131" customWidth="1"/>
    <col min="7" max="7" width="1" style="131" customWidth="1"/>
    <col min="8" max="8" width="47.5703125" style="131" hidden="1" customWidth="1"/>
    <col min="9" max="16384" width="9.140625" style="131" hidden="1"/>
  </cols>
  <sheetData>
    <row r="1" spans="1:6" ht="3.75" customHeight="1">
      <c r="B1" s="177"/>
      <c r="D1" s="177"/>
    </row>
    <row r="2" spans="1:6">
      <c r="B2" s="177"/>
      <c r="C2" s="178" t="s">
        <v>375</v>
      </c>
      <c r="D2" s="177"/>
      <c r="F2" s="205" t="s">
        <v>412</v>
      </c>
    </row>
    <row r="3" spans="1:6" ht="3.75" customHeight="1">
      <c r="B3" s="177"/>
      <c r="D3" s="177"/>
    </row>
    <row r="4" spans="1:6" ht="3" customHeight="1">
      <c r="B4" s="177"/>
      <c r="C4" s="179"/>
      <c r="D4" s="177"/>
    </row>
    <row r="5" spans="1:6">
      <c r="A5" s="180" t="s">
        <v>376</v>
      </c>
      <c r="B5" s="177"/>
      <c r="C5" s="181" t="str">
        <f>'ISIAN DATA'!H3&amp;"/ "&amp;'ISIAN DATA'!H6</f>
        <v>TAMBI/ Chalim Muchtarom, S.Pd.I</v>
      </c>
      <c r="D5" s="177"/>
      <c r="F5" s="185" t="s">
        <v>379</v>
      </c>
    </row>
    <row r="6" spans="1:6">
      <c r="B6" s="177"/>
      <c r="C6" s="181" t="str">
        <f>'ISIAN DATA'!H7</f>
        <v>400.12.3.2/19/X/2026</v>
      </c>
      <c r="D6" s="177"/>
      <c r="F6" s="185" t="s">
        <v>378</v>
      </c>
    </row>
    <row r="7" spans="1:6">
      <c r="B7" s="177"/>
      <c r="C7" s="181" t="str">
        <f>'ISIAN DATA'!H9</f>
        <v>KAMIS, 19 NOVEMBER 2026</v>
      </c>
      <c r="D7" s="177"/>
      <c r="F7" s="185" t="s">
        <v>380</v>
      </c>
    </row>
    <row r="8" spans="1:6">
      <c r="B8" s="177"/>
      <c r="C8" s="181" t="str">
        <f>'ISIAN DATA'!H11</f>
        <v>DSN SIMADU RT 003 RW 008 DESA BADAK KECAMATAN BELIK KABUPATEN PEMALANG</v>
      </c>
      <c r="D8" s="177"/>
      <c r="F8" s="185" t="s">
        <v>381</v>
      </c>
    </row>
    <row r="9" spans="1:6" ht="3" customHeight="1">
      <c r="B9" s="177"/>
      <c r="C9" s="186" t="s">
        <v>382</v>
      </c>
      <c r="D9" s="177"/>
    </row>
    <row r="10" spans="1:6">
      <c r="B10" s="177"/>
      <c r="C10" s="181" t="str">
        <f>'ISIAN DATA'!H14</f>
        <v>AOFA ARDIAN FADILLAH AZIZ</v>
      </c>
      <c r="D10" s="177"/>
    </row>
    <row r="11" spans="1:6">
      <c r="B11" s="177"/>
      <c r="C11" s="181" t="str">
        <f>'ISIAN DATA'!H15</f>
        <v>3327041308020004</v>
      </c>
      <c r="D11" s="177"/>
    </row>
    <row r="12" spans="1:6">
      <c r="B12" s="177"/>
      <c r="C12" s="181" t="str">
        <f>'ISIAN DATA'!H16</f>
        <v>PEMALANG, 13 AGUSTUS 2002</v>
      </c>
      <c r="D12" s="177"/>
    </row>
    <row r="13" spans="1:6">
      <c r="B13" s="177"/>
      <c r="C13" s="181" t="str">
        <f>'ISIAN DATA'!H17</f>
        <v>WIRASWASTA</v>
      </c>
      <c r="D13" s="177"/>
    </row>
    <row r="14" spans="1:6">
      <c r="B14" s="177"/>
      <c r="C14" s="181" t="str">
        <f>'ISIAN DATA'!H19</f>
        <v>JEJAKA (BELUM KAWIN)</v>
      </c>
      <c r="D14" s="177"/>
    </row>
    <row r="15" spans="1:6">
      <c r="B15" s="177"/>
      <c r="C15" s="181" t="str">
        <f>'ISIAN DATA'!H20</f>
        <v>DK. TAMBI RT 002 RW 001 TAMBI</v>
      </c>
      <c r="D15" s="177"/>
    </row>
    <row r="16" spans="1:6">
      <c r="B16" s="177"/>
      <c r="C16" s="181" t="str">
        <f>'ISIAN DATA'!H21</f>
        <v>KEC. WATUKUMPUL KAB. PEMALANG</v>
      </c>
      <c r="D16" s="177"/>
    </row>
    <row r="17" spans="2:4" ht="3" customHeight="1">
      <c r="B17" s="177"/>
      <c r="C17" s="182"/>
      <c r="D17" s="177"/>
    </row>
    <row r="18" spans="2:4">
      <c r="B18" s="177"/>
      <c r="C18" s="181" t="str">
        <f>'ISIAN DATA'!H23</f>
        <v>TOHIRIN</v>
      </c>
      <c r="D18" s="177"/>
    </row>
    <row r="19" spans="2:4">
      <c r="B19" s="177"/>
      <c r="C19" s="181" t="str">
        <f>'ISIAN DATA'!H24</f>
        <v>3327040107730222</v>
      </c>
      <c r="D19" s="177"/>
    </row>
    <row r="20" spans="2:4">
      <c r="B20" s="177"/>
      <c r="C20" s="181" t="str">
        <f>'ISIAN DATA'!H25</f>
        <v>PEMALANG, 1 JULI 1973</v>
      </c>
      <c r="D20" s="177"/>
    </row>
    <row r="21" spans="2:4">
      <c r="B21" s="177"/>
      <c r="C21" s="181" t="str">
        <f>'ISIAN DATA'!H28</f>
        <v>WIRASWASTA</v>
      </c>
      <c r="D21" s="177"/>
    </row>
    <row r="22" spans="2:4">
      <c r="B22" s="177"/>
      <c r="C22" s="181" t="str">
        <f>'ISIAN DATA'!H29</f>
        <v>DK. TAMBI RT 002 RW 001 TAMBI</v>
      </c>
      <c r="D22" s="177"/>
    </row>
    <row r="23" spans="2:4">
      <c r="B23" s="177"/>
      <c r="C23" s="181" t="str">
        <f>'ISIAN DATA'!H30</f>
        <v>KEC. WATUKUMPUL KAB. PEMALANG</v>
      </c>
      <c r="D23" s="177"/>
    </row>
    <row r="24" spans="2:4" ht="3" customHeight="1">
      <c r="B24" s="177"/>
      <c r="C24" s="182"/>
      <c r="D24" s="177"/>
    </row>
    <row r="25" spans="2:4">
      <c r="B25" s="177"/>
      <c r="C25" s="181" t="str">
        <f>'ISIAN DATA'!H32</f>
        <v>KARIPAH</v>
      </c>
      <c r="D25" s="177"/>
    </row>
    <row r="26" spans="2:4">
      <c r="B26" s="177"/>
      <c r="C26" s="181" t="str">
        <f>'ISIAN DATA'!H33</f>
        <v>3327044107740064</v>
      </c>
      <c r="D26" s="177"/>
    </row>
    <row r="27" spans="2:4">
      <c r="B27" s="177"/>
      <c r="C27" s="181" t="str">
        <f>'ISIAN DATA'!H34</f>
        <v>PEMALANG, 1 JULI 1974</v>
      </c>
      <c r="D27" s="177"/>
    </row>
    <row r="28" spans="2:4">
      <c r="B28" s="177"/>
      <c r="C28" s="181" t="str">
        <f>'ISIAN DATA'!H37</f>
        <v>MENGURUS RUMAH TANGGA</v>
      </c>
      <c r="D28" s="177"/>
    </row>
    <row r="29" spans="2:4">
      <c r="B29" s="177"/>
      <c r="C29" s="181" t="str">
        <f>'ISIAN DATA'!H38</f>
        <v>DK. TAMBI RT 002 RW 001 TAMBI</v>
      </c>
      <c r="D29" s="177"/>
    </row>
    <row r="30" spans="2:4">
      <c r="B30" s="177"/>
      <c r="C30" s="181" t="str">
        <f>'ISIAN DATA'!H39</f>
        <v>KEC. WATUKUMPUL KAB. PEMALANG</v>
      </c>
      <c r="D30" s="177"/>
    </row>
    <row r="31" spans="2:4" ht="6" customHeight="1">
      <c r="B31" s="177"/>
      <c r="C31" s="187" t="s">
        <v>383</v>
      </c>
      <c r="D31" s="177"/>
    </row>
    <row r="32" spans="2:4">
      <c r="B32" s="177"/>
      <c r="C32" s="181" t="str">
        <f>'ISIAN DATA'!H42</f>
        <v>FIKA INTAN ELMASARI</v>
      </c>
      <c r="D32" s="177"/>
    </row>
    <row r="33" spans="2:4">
      <c r="B33" s="177"/>
      <c r="C33" s="181" t="str">
        <f>'ISIAN DATA'!H43</f>
        <v>3327034810050002</v>
      </c>
      <c r="D33" s="177"/>
    </row>
    <row r="34" spans="2:4">
      <c r="B34" s="177"/>
      <c r="C34" s="181" t="str">
        <f>'ISIAN DATA'!H44</f>
        <v>PEMALANG, 8 OKTOBER 2005</v>
      </c>
      <c r="D34" s="177"/>
    </row>
    <row r="35" spans="2:4">
      <c r="B35" s="177"/>
      <c r="C35" s="181" t="str">
        <f>'ISIAN DATA'!H45</f>
        <v>PELAJAR MAHASISWA</v>
      </c>
      <c r="D35" s="177"/>
    </row>
    <row r="36" spans="2:4">
      <c r="B36" s="177"/>
      <c r="C36" s="181" t="str">
        <f>'ISIAN DATA'!H47</f>
        <v>PERAWAN (BELUM KAWIN)</v>
      </c>
      <c r="D36" s="177"/>
    </row>
    <row r="37" spans="2:4">
      <c r="B37" s="177"/>
      <c r="C37" s="181" t="str">
        <f>'ISIAN DATA'!H48</f>
        <v>DSN SIMADU RT 003 RW 008 DESA BADAK</v>
      </c>
      <c r="D37" s="177"/>
    </row>
    <row r="38" spans="2:4">
      <c r="B38" s="177"/>
      <c r="C38" s="181" t="str">
        <f>'ISIAN DATA'!H49</f>
        <v>KECAMATAN BELIK KABUPATEN PEMALANG</v>
      </c>
      <c r="D38" s="177"/>
    </row>
    <row r="39" spans="2:4" ht="3" customHeight="1">
      <c r="B39" s="177"/>
      <c r="C39" s="182"/>
      <c r="D39" s="177"/>
    </row>
    <row r="40" spans="2:4">
      <c r="B40" s="177"/>
      <c r="C40" s="181" t="str">
        <f>'ISIAN DATA'!H51</f>
        <v>SAMIUN</v>
      </c>
      <c r="D40" s="177"/>
    </row>
    <row r="41" spans="2:4">
      <c r="B41" s="177"/>
      <c r="C41" s="181" t="str">
        <f>'ISIAN DATA'!H52</f>
        <v>3327031103810011</v>
      </c>
      <c r="D41" s="177"/>
    </row>
    <row r="42" spans="2:4">
      <c r="B42" s="177"/>
      <c r="C42" s="181" t="str">
        <f>'ISIAN DATA'!H53</f>
        <v>PEMALANG, 11 MARET 1981</v>
      </c>
      <c r="D42" s="177"/>
    </row>
    <row r="43" spans="2:4">
      <c r="B43" s="177"/>
      <c r="C43" s="181" t="str">
        <f>'ISIAN DATA'!H56</f>
        <v>PETANI</v>
      </c>
      <c r="D43" s="177"/>
    </row>
    <row r="44" spans="2:4">
      <c r="B44" s="177"/>
      <c r="C44" s="181" t="str">
        <f>'ISIAN DATA'!H57</f>
        <v>DSN SIMADU RT 003 RW 008 DESA BADAK</v>
      </c>
      <c r="D44" s="177"/>
    </row>
    <row r="45" spans="2:4">
      <c r="B45" s="177"/>
      <c r="C45" s="181" t="str">
        <f>'ISIAN DATA'!H58</f>
        <v>KECAMATAN BELIK KABUPATEN PEMALANG</v>
      </c>
      <c r="D45" s="177"/>
    </row>
    <row r="46" spans="2:4" ht="3" customHeight="1">
      <c r="B46" s="177"/>
      <c r="C46" s="182"/>
      <c r="D46" s="177"/>
    </row>
    <row r="47" spans="2:4">
      <c r="B47" s="177"/>
      <c r="C47" s="181" t="str">
        <f>'ISIAN DATA'!H60</f>
        <v>SRINANI</v>
      </c>
      <c r="D47" s="177"/>
    </row>
    <row r="48" spans="2:4">
      <c r="B48" s="177"/>
      <c r="C48" s="181" t="str">
        <f>'ISIAN DATA'!H61</f>
        <v>3327034101870012</v>
      </c>
      <c r="D48" s="177"/>
    </row>
    <row r="49" spans="1:4">
      <c r="B49" s="177"/>
      <c r="C49" s="181" t="str">
        <f>'ISIAN DATA'!H62</f>
        <v>PEMALANG, 1 JANUARI 1987</v>
      </c>
      <c r="D49" s="177"/>
    </row>
    <row r="50" spans="1:4">
      <c r="B50" s="177"/>
      <c r="C50" s="181" t="str">
        <f>'ISIAN DATA'!H65</f>
        <v>MENGURUS RUMAH TANGGA</v>
      </c>
      <c r="D50" s="177"/>
    </row>
    <row r="51" spans="1:4">
      <c r="B51" s="177"/>
      <c r="C51" s="181" t="str">
        <f>'ISIAN DATA'!H66</f>
        <v>DSN SIMADU RT 003 RW 008 DESA BADAK</v>
      </c>
      <c r="D51" s="177"/>
    </row>
    <row r="52" spans="1:4">
      <c r="B52" s="177"/>
      <c r="C52" s="181" t="str">
        <f>'ISIAN DATA'!H67</f>
        <v>KECAMATAN BELIK KABUPATEN PEMALANG</v>
      </c>
      <c r="D52" s="177"/>
    </row>
    <row r="53" spans="1:4" ht="3" customHeight="1">
      <c r="B53" s="177"/>
      <c r="C53" s="183"/>
      <c r="D53" s="177"/>
    </row>
    <row r="54" spans="1:4">
      <c r="B54" s="177"/>
      <c r="C54" s="181" t="str">
        <f>'ISIAN DATA'!H70</f>
        <v>WALI NASAB</v>
      </c>
      <c r="D54" s="177"/>
    </row>
    <row r="55" spans="1:4">
      <c r="B55" s="177"/>
      <c r="C55" s="181" t="str">
        <f>'ISIAN DATA'!I71</f>
        <v>AYAH KANDUNG</v>
      </c>
      <c r="D55" s="177"/>
    </row>
    <row r="56" spans="1:4">
      <c r="B56" s="177"/>
      <c r="C56" s="181" t="str">
        <f>'ISIAN DATA'!H75</f>
        <v>SAMIUN</v>
      </c>
      <c r="D56" s="177"/>
    </row>
    <row r="57" spans="1:4">
      <c r="B57" s="177"/>
      <c r="C57" s="181" t="str">
        <f>'ISIAN DATA'!H76</f>
        <v>WASNURI</v>
      </c>
      <c r="D57" s="177"/>
    </row>
    <row r="58" spans="1:4">
      <c r="B58" s="177"/>
      <c r="C58" s="184" t="str">
        <f>'ISIAN DATA'!H77</f>
        <v>3327031103810011</v>
      </c>
      <c r="D58" s="177"/>
    </row>
    <row r="59" spans="1:4">
      <c r="B59" s="177"/>
      <c r="C59" s="181" t="str">
        <f>'ISIAN DATA'!H78</f>
        <v>PEMALANG, 11 MARET 1981</v>
      </c>
      <c r="D59" s="177"/>
    </row>
    <row r="60" spans="1:4">
      <c r="B60" s="177"/>
      <c r="C60" s="181" t="str">
        <f>'ISIAN DATA'!H81</f>
        <v>PETANI</v>
      </c>
      <c r="D60" s="177"/>
    </row>
    <row r="61" spans="1:4">
      <c r="B61" s="177"/>
      <c r="C61" s="181" t="str">
        <f>'ISIAN DATA'!H82</f>
        <v>DSN SIMADU RT 003 RW 008 DESA BADAK</v>
      </c>
      <c r="D61" s="177"/>
    </row>
    <row r="62" spans="1:4">
      <c r="A62" s="180" t="s">
        <v>377</v>
      </c>
      <c r="B62" s="177"/>
      <c r="C62" s="181" t="str">
        <f>'ISIAN DATA'!H83</f>
        <v>KECAMATAN BELIK KABUPATEN PEMALANG</v>
      </c>
      <c r="D62" s="177"/>
    </row>
    <row r="63" spans="1:4" ht="3" customHeight="1">
      <c r="B63" s="177"/>
      <c r="C63" s="183"/>
      <c r="D63" s="177"/>
    </row>
    <row r="64" spans="1:4" ht="3.75" customHeight="1">
      <c r="B64" s="177"/>
      <c r="D64" s="177"/>
    </row>
    <row r="65"/>
  </sheetData>
  <sheetProtection algorithmName="SHA-512" hashValue="BBXg+lKumayFVtrnWE4K2Zj3t54SEY3OJm1o3FEIklIhpXBATjVUwoFkP+7aaTZnE/QYoCvJGLgJ6z/9B5r8FQ==" saltValue="9FnAV/W9XBtvrRnCT6bUHA==" spinCount="100000" sheet="1" objects="1" scenarios="1"/>
  <hyperlinks>
    <hyperlink ref="F2" location="'ISIAN DATA'!Print_Area" display="&lt;&lt; Menu Utama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rgb="FFFFFF00"/>
  </sheetPr>
  <dimension ref="A1:XFC45"/>
  <sheetViews>
    <sheetView showGridLines="0" topLeftCell="A10" zoomScale="130" zoomScaleNormal="130" workbookViewId="0">
      <selection activeCell="D15" sqref="D15"/>
    </sheetView>
  </sheetViews>
  <sheetFormatPr defaultColWidth="0" defaultRowHeight="15" zeroHeight="1"/>
  <cols>
    <col min="1" max="1" width="3.7109375" style="161" customWidth="1"/>
    <col min="2" max="2" width="1.85546875" style="161" customWidth="1"/>
    <col min="3" max="3" width="5.42578125" style="161" customWidth="1"/>
    <col min="4" max="4" width="65.42578125" style="161" customWidth="1"/>
    <col min="5" max="5" width="1.85546875" style="161" customWidth="1"/>
    <col min="6" max="6" width="3.7109375" style="161" customWidth="1"/>
    <col min="7" max="7" width="75.5703125" style="161" hidden="1"/>
    <col min="8" max="16383" width="9.140625" style="161" hidden="1"/>
    <col min="16384" max="16384" width="0.42578125" style="161" hidden="1"/>
  </cols>
  <sheetData>
    <row r="1" spans="2:7" ht="9" customHeight="1">
      <c r="B1" s="163"/>
      <c r="C1" s="163"/>
      <c r="D1" s="163"/>
      <c r="E1" s="163"/>
    </row>
    <row r="2" spans="2:7" ht="20.25" customHeight="1" thickBot="1">
      <c r="B2" s="163"/>
      <c r="C2" s="328" t="s">
        <v>362</v>
      </c>
      <c r="D2" s="328"/>
      <c r="E2" s="163"/>
    </row>
    <row r="3" spans="2:7" ht="15.75" customHeight="1" thickTop="1">
      <c r="B3" s="163"/>
      <c r="D3" s="219" t="s">
        <v>412</v>
      </c>
      <c r="E3" s="163"/>
    </row>
    <row r="4" spans="2:7" ht="17.25" customHeight="1">
      <c r="B4" s="163"/>
      <c r="C4" s="327" t="s">
        <v>405</v>
      </c>
      <c r="D4" s="327"/>
      <c r="E4" s="163"/>
    </row>
    <row r="5" spans="2:7" ht="16.5" customHeight="1">
      <c r="B5" s="163"/>
      <c r="C5" s="162" t="s">
        <v>341</v>
      </c>
      <c r="D5" s="164" t="s">
        <v>452</v>
      </c>
      <c r="E5" s="163"/>
      <c r="G5" s="172"/>
    </row>
    <row r="6" spans="2:7" ht="16.5" customHeight="1">
      <c r="B6" s="163"/>
      <c r="C6" s="162" t="s">
        <v>342</v>
      </c>
      <c r="D6" s="164"/>
      <c r="E6" s="163"/>
      <c r="G6" s="172"/>
    </row>
    <row r="7" spans="2:7" ht="16.5" customHeight="1">
      <c r="B7" s="163"/>
      <c r="C7" s="162" t="s">
        <v>343</v>
      </c>
      <c r="D7" s="164"/>
      <c r="E7" s="163"/>
      <c r="G7" s="172"/>
    </row>
    <row r="8" spans="2:7" ht="16.5" customHeight="1">
      <c r="B8" s="163"/>
      <c r="C8" s="162" t="s">
        <v>344</v>
      </c>
      <c r="D8" s="164"/>
      <c r="E8" s="163"/>
      <c r="G8" s="172"/>
    </row>
    <row r="9" spans="2:7" ht="16.5" customHeight="1">
      <c r="B9" s="163"/>
      <c r="C9" s="162" t="s">
        <v>345</v>
      </c>
      <c r="D9" s="164"/>
      <c r="E9" s="163"/>
      <c r="G9" s="172"/>
    </row>
    <row r="10" spans="2:7" ht="8.25" customHeight="1">
      <c r="B10" s="163"/>
      <c r="E10" s="163"/>
    </row>
    <row r="11" spans="2:7" ht="17.25" customHeight="1">
      <c r="B11" s="163"/>
      <c r="C11" s="327" t="s">
        <v>363</v>
      </c>
      <c r="D11" s="327"/>
      <c r="E11" s="163"/>
    </row>
    <row r="12" spans="2:7" ht="16.5" customHeight="1">
      <c r="B12" s="163"/>
      <c r="C12" s="162" t="s">
        <v>341</v>
      </c>
      <c r="D12" s="164" t="s">
        <v>437</v>
      </c>
      <c r="E12" s="163"/>
      <c r="G12" s="172" t="str">
        <f>IF('ISIAN DATA'!$E$11="KANTOR","",Kamus!D12)</f>
        <v>DK. Tambi RT 001 RW 001 Tambi</v>
      </c>
    </row>
    <row r="13" spans="2:7" ht="16.5" customHeight="1">
      <c r="B13" s="163"/>
      <c r="C13" s="162" t="s">
        <v>342</v>
      </c>
      <c r="D13" s="164" t="s">
        <v>458</v>
      </c>
      <c r="E13" s="163"/>
      <c r="G13" s="172" t="str">
        <f>IF('ISIAN DATA'!$E$11="KANTOR","",D13)</f>
        <v>DK. Tambi RT 002 RW 001 Tambi</v>
      </c>
    </row>
    <row r="14" spans="2:7" ht="16.5" customHeight="1">
      <c r="B14" s="163"/>
      <c r="C14" s="162" t="s">
        <v>343</v>
      </c>
      <c r="D14" s="164" t="s">
        <v>438</v>
      </c>
      <c r="E14" s="163"/>
      <c r="G14" s="172" t="str">
        <f>IF('ISIAN DATA'!$E$11="KANTOR","",Kamus!D14)</f>
        <v>DK. Karanggintung RT 004 RW 001 Tambi</v>
      </c>
    </row>
    <row r="15" spans="2:7" ht="16.5" customHeight="1">
      <c r="B15" s="163"/>
      <c r="C15" s="162" t="s">
        <v>344</v>
      </c>
      <c r="D15" s="164" t="s">
        <v>439</v>
      </c>
      <c r="E15" s="163"/>
      <c r="G15" s="172" t="str">
        <f>IF('ISIAN DATA'!$E$11="KANTOR","",Kamus!D15)</f>
        <v>DK. Sambeng RT 003 RW 001 Tambi</v>
      </c>
    </row>
    <row r="16" spans="2:7" ht="16.5" customHeight="1">
      <c r="B16" s="163"/>
      <c r="C16" s="162" t="s">
        <v>345</v>
      </c>
      <c r="D16" s="164" t="s">
        <v>440</v>
      </c>
      <c r="E16" s="163"/>
      <c r="G16" s="172" t="str">
        <f>IF('ISIAN DATA'!$E$11="KANTOR","",Kamus!D16)</f>
        <v>DK. Batur RT 001 RW 002 Tambi</v>
      </c>
    </row>
    <row r="17" spans="2:7" ht="16.5" customHeight="1">
      <c r="B17" s="163"/>
      <c r="C17" s="162" t="s">
        <v>346</v>
      </c>
      <c r="D17" s="164" t="s">
        <v>441</v>
      </c>
      <c r="E17" s="163"/>
      <c r="G17" s="172" t="str">
        <f>IF('ISIAN DATA'!$E$11="KANTOR","",Kamus!D17)</f>
        <v>DK. Jambu Tengah RT 002 RW 002 Tambi</v>
      </c>
    </row>
    <row r="18" spans="2:7" ht="16.5" customHeight="1">
      <c r="B18" s="163"/>
      <c r="C18" s="162" t="s">
        <v>347</v>
      </c>
      <c r="D18" s="164" t="s">
        <v>442</v>
      </c>
      <c r="E18" s="163"/>
      <c r="G18" s="172" t="str">
        <f>IF('ISIAN DATA'!$E$11="KANTOR","",Kamus!D18)</f>
        <v>DK. Jambu Lor RT 003 RW 002 Tambi</v>
      </c>
    </row>
    <row r="19" spans="2:7" ht="16.5" customHeight="1">
      <c r="B19" s="163"/>
      <c r="C19" s="162" t="s">
        <v>348</v>
      </c>
      <c r="D19" s="164" t="s">
        <v>443</v>
      </c>
      <c r="E19" s="163"/>
      <c r="G19" s="172" t="str">
        <f>IF('ISIAN DATA'!$E$11="KANTOR","",Kamus!D19)</f>
        <v>DK. Jambu Tengah RT 004 RW 002 Tambi</v>
      </c>
    </row>
    <row r="20" spans="2:7" ht="16.5" customHeight="1">
      <c r="B20" s="163"/>
      <c r="C20" s="162" t="s">
        <v>349</v>
      </c>
      <c r="D20" s="164" t="s">
        <v>444</v>
      </c>
      <c r="E20" s="163"/>
      <c r="G20" s="172" t="str">
        <f>IF('ISIAN DATA'!$E$11="KANTOR","",Kamus!D20)</f>
        <v>DK. Jambu Wetan RT 001 RW 003 Tambi</v>
      </c>
    </row>
    <row r="21" spans="2:7" ht="16.5" customHeight="1">
      <c r="B21" s="163"/>
      <c r="C21" s="162" t="s">
        <v>350</v>
      </c>
      <c r="D21" s="164" t="s">
        <v>445</v>
      </c>
      <c r="E21" s="163"/>
      <c r="G21" s="172" t="str">
        <f>IF('ISIAN DATA'!$E$11="KANTOR","",Kamus!D21)</f>
        <v>DK. Jambu Wetan RT 002 RW 003 Tambi</v>
      </c>
    </row>
    <row r="22" spans="2:7" ht="16.5" customHeight="1">
      <c r="B22" s="163"/>
      <c r="C22" s="162" t="s">
        <v>351</v>
      </c>
      <c r="D22" s="164" t="s">
        <v>446</v>
      </c>
      <c r="E22" s="163"/>
      <c r="G22" s="172" t="str">
        <f>IF('ISIAN DATA'!$E$11="KANTOR","",Kamus!D22)</f>
        <v>DK. Jambu Kidul RT 003 RW 003 Tambi</v>
      </c>
    </row>
    <row r="23" spans="2:7" ht="16.5" customHeight="1">
      <c r="B23" s="163"/>
      <c r="C23" s="162" t="s">
        <v>352</v>
      </c>
      <c r="D23" s="164" t="s">
        <v>447</v>
      </c>
      <c r="E23" s="163"/>
      <c r="G23" s="172" t="str">
        <f>IF('ISIAN DATA'!$E$11="KANTOR","",Kamus!D23)</f>
        <v>DK. Tambah Reja RT 004 RW 003 Tambi</v>
      </c>
    </row>
    <row r="24" spans="2:7" ht="16.5" customHeight="1">
      <c r="B24" s="163"/>
      <c r="C24" s="162" t="s">
        <v>353</v>
      </c>
      <c r="D24" s="164" t="s">
        <v>448</v>
      </c>
      <c r="E24" s="163"/>
      <c r="G24" s="172" t="str">
        <f>IF('ISIAN DATA'!$E$11="KANTOR","",Kamus!D24)</f>
        <v>DK. Bentang RT 001 RW 004 Tambi</v>
      </c>
    </row>
    <row r="25" spans="2:7" ht="16.5" customHeight="1">
      <c r="B25" s="163"/>
      <c r="C25" s="162" t="s">
        <v>354</v>
      </c>
      <c r="D25" s="164" t="s">
        <v>449</v>
      </c>
      <c r="E25" s="163"/>
      <c r="G25" s="172" t="str">
        <f>IF('ISIAN DATA'!$E$11="KANTOR","",Kamus!D25)</f>
        <v>DK. Bentang RT 002 RW 004 Tambi</v>
      </c>
    </row>
    <row r="26" spans="2:7" ht="16.5" customHeight="1">
      <c r="B26" s="163"/>
      <c r="C26" s="162" t="s">
        <v>355</v>
      </c>
      <c r="D26" s="164" t="s">
        <v>450</v>
      </c>
      <c r="E26" s="163"/>
      <c r="G26" s="172" t="str">
        <f>IF('ISIAN DATA'!$E$11="KANTOR","",Kamus!D26)</f>
        <v>DK. Bentang Kulon RT 003 RW 004 Tambi</v>
      </c>
    </row>
    <row r="27" spans="2:7" ht="16.5" customHeight="1">
      <c r="B27" s="163"/>
      <c r="C27" s="162" t="s">
        <v>356</v>
      </c>
      <c r="D27" s="164" t="s">
        <v>451</v>
      </c>
      <c r="E27" s="163"/>
      <c r="G27" s="172" t="str">
        <f>IF('ISIAN DATA'!$E$11="KANTOR","",Kamus!D27)</f>
        <v>DK. Tambah Reja RT 004 RW 004 Tambi</v>
      </c>
    </row>
    <row r="28" spans="2:7" ht="16.5" customHeight="1">
      <c r="B28" s="163"/>
      <c r="C28" s="162" t="s">
        <v>357</v>
      </c>
      <c r="D28" s="164" t="s">
        <v>454</v>
      </c>
      <c r="E28" s="163"/>
      <c r="G28" s="172" t="str">
        <f>IF('ISIAN DATA'!$E$11="KANTOR","",Kamus!D28)</f>
        <v>Dsn Simadu RT 003 RW 008 Desa Badak Kecamatan Belik Kabupaten Pemalang</v>
      </c>
    </row>
    <row r="29" spans="2:7" ht="16.5" customHeight="1">
      <c r="B29" s="163"/>
      <c r="C29" s="162" t="s">
        <v>358</v>
      </c>
      <c r="D29" s="164" t="s">
        <v>373</v>
      </c>
      <c r="E29" s="163"/>
      <c r="G29" s="172" t="str">
        <f>IF('ISIAN DATA'!$E$11="KANTOR","",Kamus!D29)</f>
        <v>…</v>
      </c>
    </row>
    <row r="30" spans="2:7" ht="16.5" customHeight="1">
      <c r="B30" s="163"/>
      <c r="C30" s="162" t="s">
        <v>359</v>
      </c>
      <c r="D30" s="164" t="s">
        <v>373</v>
      </c>
      <c r="E30" s="163"/>
      <c r="G30" s="172" t="str">
        <f>IF('ISIAN DATA'!$E$11="KANTOR","",Kamus!D30)</f>
        <v>…</v>
      </c>
    </row>
    <row r="31" spans="2:7" ht="16.5" customHeight="1">
      <c r="B31" s="163"/>
      <c r="C31" s="162" t="s">
        <v>360</v>
      </c>
      <c r="D31" s="164" t="s">
        <v>373</v>
      </c>
      <c r="E31" s="163"/>
      <c r="G31" s="172" t="str">
        <f>IF('ISIAN DATA'!$E$11="KANTOR","",Kamus!D31)</f>
        <v>…</v>
      </c>
    </row>
    <row r="32" spans="2:7" ht="8.25" customHeight="1">
      <c r="B32" s="163"/>
      <c r="E32" s="163"/>
    </row>
    <row r="33" spans="2:7" ht="17.25" customHeight="1">
      <c r="B33" s="163"/>
      <c r="C33" s="327" t="s">
        <v>361</v>
      </c>
      <c r="D33" s="327"/>
      <c r="E33" s="163"/>
    </row>
    <row r="34" spans="2:7" ht="16.5" customHeight="1">
      <c r="B34" s="163"/>
      <c r="C34" s="162" t="s">
        <v>341</v>
      </c>
      <c r="D34" s="164" t="s">
        <v>366</v>
      </c>
      <c r="E34" s="163"/>
      <c r="G34" s="164" t="str">
        <f>IF('ISIAN DATA'!$D$9="","",Kamus!D34)</f>
        <v/>
      </c>
    </row>
    <row r="35" spans="2:7" ht="16.5" customHeight="1">
      <c r="B35" s="163"/>
      <c r="C35" s="162" t="s">
        <v>342</v>
      </c>
      <c r="D35" s="164" t="s">
        <v>364</v>
      </c>
      <c r="E35" s="163"/>
      <c r="G35" s="164" t="str">
        <f>IF('ISIAN DATA'!$D$9="","",Kamus!D35)</f>
        <v/>
      </c>
    </row>
    <row r="36" spans="2:7" ht="16.5" customHeight="1">
      <c r="B36" s="163"/>
      <c r="C36" s="162" t="s">
        <v>343</v>
      </c>
      <c r="D36" s="164" t="s">
        <v>435</v>
      </c>
      <c r="E36" s="163"/>
      <c r="G36" s="164" t="str">
        <f>IF('ISIAN DATA'!$D$9="","",Kamus!D36)</f>
        <v/>
      </c>
    </row>
    <row r="37" spans="2:7" ht="16.5" customHeight="1">
      <c r="B37" s="163"/>
      <c r="C37" s="162" t="s">
        <v>344</v>
      </c>
      <c r="D37" s="164" t="s">
        <v>436</v>
      </c>
      <c r="E37" s="163"/>
      <c r="G37" s="164" t="str">
        <f>IF('ISIAN DATA'!$D$9="","",Kamus!D37)</f>
        <v/>
      </c>
    </row>
    <row r="38" spans="2:7" ht="16.5" customHeight="1">
      <c r="B38" s="163"/>
      <c r="C38" s="162" t="s">
        <v>345</v>
      </c>
      <c r="D38" s="164" t="s">
        <v>373</v>
      </c>
      <c r="E38" s="163"/>
      <c r="G38" s="164" t="str">
        <f>IF('ISIAN DATA'!$D$9="","",Kamus!D38)</f>
        <v/>
      </c>
    </row>
    <row r="39" spans="2:7" ht="16.5" customHeight="1">
      <c r="B39" s="163"/>
      <c r="C39" s="162" t="s">
        <v>346</v>
      </c>
      <c r="D39" s="164" t="s">
        <v>373</v>
      </c>
      <c r="E39" s="163"/>
      <c r="G39" s="164" t="str">
        <f>IF('ISIAN DATA'!$D$9="","",Kamus!D39)</f>
        <v/>
      </c>
    </row>
    <row r="40" spans="2:7" ht="16.5" customHeight="1">
      <c r="B40" s="163"/>
      <c r="C40" s="162" t="s">
        <v>347</v>
      </c>
      <c r="D40" s="164" t="s">
        <v>365</v>
      </c>
      <c r="E40" s="163"/>
      <c r="G40" s="164" t="str">
        <f>IF('ISIAN DATA'!$D$9="","",Kamus!D40)</f>
        <v/>
      </c>
    </row>
    <row r="41" spans="2:7" ht="9" customHeight="1">
      <c r="B41" s="163"/>
      <c r="C41" s="163"/>
      <c r="D41" s="163"/>
      <c r="E41" s="163"/>
    </row>
    <row r="42" spans="2:7" ht="16.5" customHeight="1"/>
    <row r="43" spans="2:7" ht="16.5" hidden="1" customHeight="1"/>
    <row r="44" spans="2:7" ht="16.5" hidden="1" customHeight="1"/>
    <row r="45" spans="2:7" ht="16.5" hidden="1" customHeight="1"/>
  </sheetData>
  <sheetProtection algorithmName="SHA-512" hashValue="gyl7CE75sD2aEpT6zW5l6NvBUxDp12O2FJlYTrpg42kUUlUvISvvGrwyr9OBXpE+ihG924ordVASp9/rDs7XMQ==" saltValue="rDMqK95Qd24q2eWlKIAEng==" spinCount="100000" sheet="1" objects="1" scenarios="1" selectLockedCells="1"/>
  <mergeCells count="4">
    <mergeCell ref="C33:D33"/>
    <mergeCell ref="C11:D11"/>
    <mergeCell ref="C2:D2"/>
    <mergeCell ref="C4:D4"/>
  </mergeCells>
  <phoneticPr fontId="24" type="noConversion"/>
  <hyperlinks>
    <hyperlink ref="D3" location="'ISIAN DATA'!Print_Area" display="&lt;&lt; Menu Utama"/>
  </hyperlinks>
  <pageMargins left="0.7" right="0.7" top="0.75" bottom="0.75" header="0.3" footer="0.3"/>
  <ignoredErrors>
    <ignoredError sqref="C12:C31 C34:C36 C37:C40 C5:C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11</vt:i4>
      </vt:variant>
    </vt:vector>
  </HeadingPairs>
  <TitlesOfParts>
    <vt:vector size="24" baseType="lpstr">
      <vt:lpstr>ISIAN DATA</vt:lpstr>
      <vt:lpstr>RDS</vt:lpstr>
      <vt:lpstr>N2</vt:lpstr>
      <vt:lpstr>N1-Putra</vt:lpstr>
      <vt:lpstr>N1-Putri</vt:lpstr>
      <vt:lpstr>N4</vt:lpstr>
      <vt:lpstr>N5</vt:lpstr>
      <vt:lpstr>SKW</vt:lpstr>
      <vt:lpstr>Super WH</vt:lpstr>
      <vt:lpstr>Dispensasi</vt:lpstr>
      <vt:lpstr>Kendali</vt:lpstr>
      <vt:lpstr>RDS Operator</vt:lpstr>
      <vt:lpstr>Kamus</vt:lpstr>
      <vt:lpstr>Dispensasi!Print_Area</vt:lpstr>
      <vt:lpstr>'ISIAN DATA'!Print_Area</vt:lpstr>
      <vt:lpstr>Kendali!Print_Area</vt:lpstr>
      <vt:lpstr>'N1-Putra'!Print_Area</vt:lpstr>
      <vt:lpstr>'N1-Putri'!Print_Area</vt:lpstr>
      <vt:lpstr>'N2'!Print_Area</vt:lpstr>
      <vt:lpstr>'N4'!Print_Area</vt:lpstr>
      <vt:lpstr>'N5'!Print_Area</vt:lpstr>
      <vt:lpstr>RDS!Print_Area</vt:lpstr>
      <vt:lpstr>SKW!Print_Area</vt:lpstr>
      <vt:lpstr>'Super WH'!Print_Area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</dc:creator>
  <cp:lastModifiedBy>ADMIN</cp:lastModifiedBy>
  <cp:lastPrinted>2026-09-21T12:16:37Z</cp:lastPrinted>
  <dcterms:created xsi:type="dcterms:W3CDTF">2026-04-14T00:41:12Z</dcterms:created>
  <dcterms:modified xsi:type="dcterms:W3CDTF">2026-10-08T02:13:30Z</dcterms:modified>
</cp:coreProperties>
</file>